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f648ebb8ce24d5d/DATA ANALYSIS/AlexTheAnalyst/Excel/"/>
    </mc:Choice>
  </mc:AlternateContent>
  <xr:revisionPtr revIDLastSave="27" documentId="13_ncr:1_{262A8FC0-9A62-4D73-9FBB-28677FB8C87B}" xr6:coauthVersionLast="47" xr6:coauthVersionMax="47" xr10:uidLastSave="{A7974F44-3529-4036-9EC6-C02DAE803410}"/>
  <bookViews>
    <workbookView xWindow="-120" yWindow="-120" windowWidth="24240" windowHeight="1314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<sst xmlns="http://schemas.openxmlformats.org/spreadsheetml/2006/main" count="16274" uniqueCount="50">
  <si>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</si>
  <si>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</si>
  <si>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</si>
  <si>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</si>
  <si>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</si>
  <si>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</si>
  <si>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</si>
  <si>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</si>
  <si>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</si>
  <si>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</si>
  <si>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</si>
  <si>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</si>
  <si>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</si>
  <si>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</si>
  <si>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</si>
  <si>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</si>
  <si>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</si>
  <si>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</si>
  <si>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</si>
  <si>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</si>
  <si>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</si>
  <si>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</si>
  <si>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</si>
  <si>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</si>
  <si>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</si>
  <si>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</si>
  <si>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</si>
  <si>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</si>
  <si>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</si>
  <si>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</si>
  <si>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</si>
  <si>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</si>
  <si>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</si>
  <si>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</si>
  <si>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</si>
  <si>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</si>
  <si>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</si>
  <si>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</si>
  <si>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</si>
  <si>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</si>
  <si>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</si>
  <si>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</si>
  <si>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</si>
  <si>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</si>
  <si>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</si>
  <si>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</si>
  <si>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Bike Sales Dashboard</t>
  </si>
  <si>
    <t>Middle Age (35-54)</t>
  </si>
  <si>
    <t>Senior(55+)</t>
  </si>
  <si>
    <t>Young Adult (18-34)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</si>
</sst>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quot;$&quot;#,##0.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3" fontId="0" fillId="0" borderId="0" xfId="0" applyNumberFormat="1"/>
    <xf numFmtId="0" fontId="0" fillId="33" borderId="0" xfId="0" applyFill="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3" formatCode="#,##0"/>
    </dxf>
    <dxf>
      <numFmt numFmtId="167" formatCode="_(* #,##0_);_(* \(#,##0\);_(* &quot;-&quot;_);_(@_)"/>
    </dxf>
    <dxf>
      <numFmt numFmtId="166" formatCode="&quot;$&quot;#,##0.0000"/>
    </dxf>
    <dxf>
      <numFmt numFmtId="0" formatCode="General"/>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Pivot Table ^0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70588.23529411765</c:v>
                </c:pt>
                <c:pt idx="1">
                  <c:v>97500</c:v>
                </c:pt>
              </c:numCache>
            </c:numRef>
          </c:val>
          <c:extLst>
            <c:ext xmlns:c16="http://schemas.microsoft.com/office/drawing/2014/chart" uri="{C3380CC4-5D6E-409C-BE32-E72D297353CC}">
              <c16:uniqueId val="{00000000-8D22-48EE-9E16-07A9E2739EC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64705.882352941175</c:v>
                </c:pt>
                <c:pt idx="1">
                  <c:v>78750</c:v>
                </c:pt>
              </c:numCache>
            </c:numRef>
          </c:val>
          <c:extLst>
            <c:ext xmlns:c16="http://schemas.microsoft.com/office/drawing/2014/chart" uri="{C3380CC4-5D6E-409C-BE32-E72D297353CC}">
              <c16:uniqueId val="{00000001-8D22-48EE-9E16-07A9E2739ECA}"/>
            </c:ext>
          </c:extLst>
        </c:ser>
        <c:dLbls>
          <c:showLegendKey val="0"/>
          <c:showVal val="0"/>
          <c:showCatName val="0"/>
          <c:showSerName val="0"/>
          <c:showPercent val="0"/>
          <c:showBubbleSize val="0"/>
        </c:dLbls>
        <c:gapWidth val="219"/>
        <c:overlap val="-27"/>
        <c:axId val="850102576"/>
        <c:axId val="856393712"/>
      </c:barChart>
      <c:catAx>
        <c:axId val="850102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393712"/>
        <c:crosses val="autoZero"/>
        <c:auto val="1"/>
        <c:lblAlgn val="ctr"/>
        <c:lblOffset val="100"/>
        <c:noMultiLvlLbl val="0"/>
      </c:catAx>
      <c:valAx>
        <c:axId val="856393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102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Pivot Table ^0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10+ Miles</c:v>
                </c:pt>
              </c:strCache>
            </c:strRef>
          </c:cat>
          <c:val>
            <c:numRef>
              <c:f>'Pivot Table'!$B$19:$B$24</c:f>
              <c:numCache>
                <c:formatCode>General</c:formatCode>
                <c:ptCount val="5"/>
                <c:pt idx="0">
                  <c:v>8</c:v>
                </c:pt>
                <c:pt idx="1">
                  <c:v>7</c:v>
                </c:pt>
                <c:pt idx="2">
                  <c:v>1</c:v>
                </c:pt>
                <c:pt idx="3">
                  <c:v>3</c:v>
                </c:pt>
                <c:pt idx="4">
                  <c:v>2</c:v>
                </c:pt>
              </c:numCache>
            </c:numRef>
          </c:val>
          <c:smooth val="0"/>
          <c:extLst>
            <c:ext xmlns:c16="http://schemas.microsoft.com/office/drawing/2014/chart" uri="{C3380CC4-5D6E-409C-BE32-E72D297353CC}">
              <c16:uniqueId val="{00000000-3C6F-4CFB-8654-52872415D52A}"/>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10+ Miles</c:v>
                </c:pt>
              </c:strCache>
            </c:strRef>
          </c:cat>
          <c:val>
            <c:numRef>
              <c:f>'Pivot Table'!$C$19:$C$24</c:f>
              <c:numCache>
                <c:formatCode>General</c:formatCode>
                <c:ptCount val="5"/>
                <c:pt idx="0">
                  <c:v>5</c:v>
                </c:pt>
                <c:pt idx="1">
                  <c:v>4</c:v>
                </c:pt>
                <c:pt idx="2">
                  <c:v>9</c:v>
                </c:pt>
                <c:pt idx="3">
                  <c:v>4</c:v>
                </c:pt>
                <c:pt idx="4">
                  <c:v>3</c:v>
                </c:pt>
              </c:numCache>
            </c:numRef>
          </c:val>
          <c:smooth val="0"/>
          <c:extLst>
            <c:ext xmlns:c16="http://schemas.microsoft.com/office/drawing/2014/chart" uri="{C3380CC4-5D6E-409C-BE32-E72D297353CC}">
              <c16:uniqueId val="{00000001-3C6F-4CFB-8654-52872415D52A}"/>
            </c:ext>
          </c:extLst>
        </c:ser>
        <c:dLbls>
          <c:showLegendKey val="0"/>
          <c:showVal val="0"/>
          <c:showCatName val="0"/>
          <c:showSerName val="0"/>
          <c:showPercent val="0"/>
          <c:showBubbleSize val="0"/>
        </c:dLbls>
        <c:smooth val="0"/>
        <c:axId val="13130576"/>
        <c:axId val="13132016"/>
      </c:lineChart>
      <c:catAx>
        <c:axId val="13130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2016"/>
        <c:crosses val="autoZero"/>
        <c:auto val="1"/>
        <c:lblAlgn val="ctr"/>
        <c:lblOffset val="100"/>
        <c:noMultiLvlLbl val="0"/>
      </c:catAx>
      <c:valAx>
        <c:axId val="1313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Pivot Table ^0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Young Adult (18-34)</c:v>
                </c:pt>
                <c:pt idx="1">
                  <c:v>Middle Age (35-54)</c:v>
                </c:pt>
                <c:pt idx="2">
                  <c:v>Senior(55+)</c:v>
                </c:pt>
              </c:strCache>
            </c:strRef>
          </c:cat>
          <c:val>
            <c:numRef>
              <c:f>'Pivot Table'!$B$35:$B$38</c:f>
              <c:numCache>
                <c:formatCode>General</c:formatCode>
                <c:ptCount val="3"/>
                <c:pt idx="0">
                  <c:v>2</c:v>
                </c:pt>
                <c:pt idx="1">
                  <c:v>13</c:v>
                </c:pt>
                <c:pt idx="2">
                  <c:v>6</c:v>
                </c:pt>
              </c:numCache>
            </c:numRef>
          </c:val>
          <c:smooth val="0"/>
          <c:extLst>
            <c:ext xmlns:c16="http://schemas.microsoft.com/office/drawing/2014/chart" uri="{C3380CC4-5D6E-409C-BE32-E72D297353CC}">
              <c16:uniqueId val="{00000000-2E1A-4310-86A2-599A042346A9}"/>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Young Adult (18-34)</c:v>
                </c:pt>
                <c:pt idx="1">
                  <c:v>Middle Age (35-54)</c:v>
                </c:pt>
                <c:pt idx="2">
                  <c:v>Senior(55+)</c:v>
                </c:pt>
              </c:strCache>
            </c:strRef>
          </c:cat>
          <c:val>
            <c:numRef>
              <c:f>'Pivot Table'!$C$35:$C$38</c:f>
              <c:numCache>
                <c:formatCode>General</c:formatCode>
                <c:ptCount val="3"/>
                <c:pt idx="0">
                  <c:v>3</c:v>
                </c:pt>
                <c:pt idx="1">
                  <c:v>18</c:v>
                </c:pt>
                <c:pt idx="2">
                  <c:v>4</c:v>
                </c:pt>
              </c:numCache>
            </c:numRef>
          </c:val>
          <c:smooth val="0"/>
          <c:extLst>
            <c:ext xmlns:c16="http://schemas.microsoft.com/office/drawing/2014/chart" uri="{C3380CC4-5D6E-409C-BE32-E72D297353CC}">
              <c16:uniqueId val="{00000001-2E1A-4310-86A2-599A042346A9}"/>
            </c:ext>
          </c:extLst>
        </c:ser>
        <c:dLbls>
          <c:showLegendKey val="0"/>
          <c:showVal val="0"/>
          <c:showCatName val="0"/>
          <c:showSerName val="0"/>
          <c:showPercent val="0"/>
          <c:showBubbleSize val="0"/>
        </c:dLbls>
        <c:marker val="1"/>
        <c:smooth val="0"/>
        <c:axId val="552995216"/>
        <c:axId val="283386608"/>
      </c:lineChart>
      <c:catAx>
        <c:axId val="552995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86608"/>
        <c:crosses val="autoZero"/>
        <c:auto val="1"/>
        <c:lblAlgn val="ctr"/>
        <c:lblOffset val="100"/>
        <c:noMultiLvlLbl val="0"/>
      </c:catAx>
      <c:valAx>
        <c:axId val="28338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99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Pivot Table ^0 Dashboard.xlsx]Pivot Table!PivotTable5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none"/>
          </c:marker>
          <c:cat>
            <c:strRef>
              <c:f>'Pivot Table'!$A$50:$A$71</c:f>
              <c:strCache>
                <c:ptCount val="21"/>
                <c:pt idx="0">
                  <c:v>33</c:v>
                </c:pt>
                <c:pt idx="1">
                  <c:v>34</c:v>
                </c:pt>
                <c:pt idx="2">
                  <c:v>35</c:v>
                </c:pt>
                <c:pt idx="3">
                  <c:v>36</c:v>
                </c:pt>
                <c:pt idx="4">
                  <c:v>37</c:v>
                </c:pt>
                <c:pt idx="5">
                  <c:v>38</c:v>
                </c:pt>
                <c:pt idx="6">
                  <c:v>39</c:v>
                </c:pt>
                <c:pt idx="7">
                  <c:v>40</c:v>
                </c:pt>
                <c:pt idx="8">
                  <c:v>43</c:v>
                </c:pt>
                <c:pt idx="9">
                  <c:v>46</c:v>
                </c:pt>
                <c:pt idx="10">
                  <c:v>47</c:v>
                </c:pt>
                <c:pt idx="11">
                  <c:v>48</c:v>
                </c:pt>
                <c:pt idx="12">
                  <c:v>52</c:v>
                </c:pt>
                <c:pt idx="13">
                  <c:v>53</c:v>
                </c:pt>
                <c:pt idx="14">
                  <c:v>61</c:v>
                </c:pt>
                <c:pt idx="15">
                  <c:v>65</c:v>
                </c:pt>
                <c:pt idx="16">
                  <c:v>66</c:v>
                </c:pt>
                <c:pt idx="17">
                  <c:v>67</c:v>
                </c:pt>
                <c:pt idx="18">
                  <c:v>69</c:v>
                </c:pt>
                <c:pt idx="19">
                  <c:v>73</c:v>
                </c:pt>
                <c:pt idx="20">
                  <c:v>74</c:v>
                </c:pt>
              </c:strCache>
            </c:strRef>
          </c:cat>
          <c:val>
            <c:numRef>
              <c:f>'Pivot Table'!$B$50:$B$71</c:f>
              <c:numCache>
                <c:formatCode>General</c:formatCode>
                <c:ptCount val="21"/>
                <c:pt idx="0">
                  <c:v>1</c:v>
                </c:pt>
                <c:pt idx="1">
                  <c:v>1</c:v>
                </c:pt>
                <c:pt idx="2">
                  <c:v>1</c:v>
                </c:pt>
                <c:pt idx="6">
                  <c:v>1</c:v>
                </c:pt>
                <c:pt idx="7">
                  <c:v>2</c:v>
                </c:pt>
                <c:pt idx="10">
                  <c:v>5</c:v>
                </c:pt>
                <c:pt idx="11">
                  <c:v>2</c:v>
                </c:pt>
                <c:pt idx="12">
                  <c:v>1</c:v>
                </c:pt>
                <c:pt idx="13">
                  <c:v>1</c:v>
                </c:pt>
                <c:pt idx="15">
                  <c:v>1</c:v>
                </c:pt>
                <c:pt idx="16">
                  <c:v>2</c:v>
                </c:pt>
                <c:pt idx="17">
                  <c:v>1</c:v>
                </c:pt>
                <c:pt idx="18">
                  <c:v>1</c:v>
                </c:pt>
                <c:pt idx="19">
                  <c:v>1</c:v>
                </c:pt>
              </c:numCache>
            </c:numRef>
          </c:val>
          <c:smooth val="0"/>
          <c:extLst>
            <c:ext xmlns:c16="http://schemas.microsoft.com/office/drawing/2014/chart" uri="{C3380CC4-5D6E-409C-BE32-E72D297353CC}">
              <c16:uniqueId val="{00000000-E3BD-4DAF-80BC-3FB0132103B9}"/>
            </c:ext>
          </c:extLst>
        </c:ser>
        <c:ser>
          <c:idx val="1"/>
          <c:order val="1"/>
          <c:tx>
            <c:strRef>
              <c:f>'Pivot Table'!$C$48:$C$49</c:f>
              <c:strCache>
                <c:ptCount val="1"/>
                <c:pt idx="0">
                  <c:v>Yes</c:v>
                </c:pt>
              </c:strCache>
            </c:strRef>
          </c:tx>
          <c:spPr>
            <a:ln w="28575" cap="rnd">
              <a:solidFill>
                <a:schemeClr val="accent2"/>
              </a:solidFill>
              <a:round/>
            </a:ln>
            <a:effectLst/>
          </c:spPr>
          <c:marker>
            <c:symbol val="none"/>
          </c:marker>
          <c:cat>
            <c:strRef>
              <c:f>'Pivot Table'!$A$50:$A$71</c:f>
              <c:strCache>
                <c:ptCount val="21"/>
                <c:pt idx="0">
                  <c:v>33</c:v>
                </c:pt>
                <c:pt idx="1">
                  <c:v>34</c:v>
                </c:pt>
                <c:pt idx="2">
                  <c:v>35</c:v>
                </c:pt>
                <c:pt idx="3">
                  <c:v>36</c:v>
                </c:pt>
                <c:pt idx="4">
                  <c:v>37</c:v>
                </c:pt>
                <c:pt idx="5">
                  <c:v>38</c:v>
                </c:pt>
                <c:pt idx="6">
                  <c:v>39</c:v>
                </c:pt>
                <c:pt idx="7">
                  <c:v>40</c:v>
                </c:pt>
                <c:pt idx="8">
                  <c:v>43</c:v>
                </c:pt>
                <c:pt idx="9">
                  <c:v>46</c:v>
                </c:pt>
                <c:pt idx="10">
                  <c:v>47</c:v>
                </c:pt>
                <c:pt idx="11">
                  <c:v>48</c:v>
                </c:pt>
                <c:pt idx="12">
                  <c:v>52</c:v>
                </c:pt>
                <c:pt idx="13">
                  <c:v>53</c:v>
                </c:pt>
                <c:pt idx="14">
                  <c:v>61</c:v>
                </c:pt>
                <c:pt idx="15">
                  <c:v>65</c:v>
                </c:pt>
                <c:pt idx="16">
                  <c:v>66</c:v>
                </c:pt>
                <c:pt idx="17">
                  <c:v>67</c:v>
                </c:pt>
                <c:pt idx="18">
                  <c:v>69</c:v>
                </c:pt>
                <c:pt idx="19">
                  <c:v>73</c:v>
                </c:pt>
                <c:pt idx="20">
                  <c:v>74</c:v>
                </c:pt>
              </c:strCache>
            </c:strRef>
          </c:cat>
          <c:val>
            <c:numRef>
              <c:f>'Pivot Table'!$C$50:$C$71</c:f>
              <c:numCache>
                <c:formatCode>General</c:formatCode>
                <c:ptCount val="21"/>
                <c:pt idx="0">
                  <c:v>2</c:v>
                </c:pt>
                <c:pt idx="1">
                  <c:v>1</c:v>
                </c:pt>
                <c:pt idx="2">
                  <c:v>4</c:v>
                </c:pt>
                <c:pt idx="3">
                  <c:v>3</c:v>
                </c:pt>
                <c:pt idx="4">
                  <c:v>1</c:v>
                </c:pt>
                <c:pt idx="5">
                  <c:v>2</c:v>
                </c:pt>
                <c:pt idx="8">
                  <c:v>1</c:v>
                </c:pt>
                <c:pt idx="9">
                  <c:v>1</c:v>
                </c:pt>
                <c:pt idx="10">
                  <c:v>2</c:v>
                </c:pt>
                <c:pt idx="12">
                  <c:v>1</c:v>
                </c:pt>
                <c:pt idx="13">
                  <c:v>3</c:v>
                </c:pt>
                <c:pt idx="14">
                  <c:v>1</c:v>
                </c:pt>
                <c:pt idx="17">
                  <c:v>1</c:v>
                </c:pt>
                <c:pt idx="19">
                  <c:v>1</c:v>
                </c:pt>
                <c:pt idx="20">
                  <c:v>1</c:v>
                </c:pt>
              </c:numCache>
            </c:numRef>
          </c:val>
          <c:smooth val="0"/>
          <c:extLst>
            <c:ext xmlns:c16="http://schemas.microsoft.com/office/drawing/2014/chart" uri="{C3380CC4-5D6E-409C-BE32-E72D297353CC}">
              <c16:uniqueId val="{00000001-E3BD-4DAF-80BC-3FB0132103B9}"/>
            </c:ext>
          </c:extLst>
        </c:ser>
        <c:dLbls>
          <c:showLegendKey val="0"/>
          <c:showVal val="0"/>
          <c:showCatName val="0"/>
          <c:showSerName val="0"/>
          <c:showPercent val="0"/>
          <c:showBubbleSize val="0"/>
        </c:dLbls>
        <c:smooth val="0"/>
        <c:axId val="67216544"/>
        <c:axId val="67217024"/>
      </c:lineChart>
      <c:catAx>
        <c:axId val="6721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17024"/>
        <c:crosses val="autoZero"/>
        <c:auto val="1"/>
        <c:lblAlgn val="ctr"/>
        <c:lblOffset val="100"/>
        <c:noMultiLvlLbl val="0"/>
      </c:catAx>
      <c:valAx>
        <c:axId val="6721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1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Pivot Table ^0 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70588.23529411765</c:v>
                </c:pt>
                <c:pt idx="1">
                  <c:v>97500</c:v>
                </c:pt>
              </c:numCache>
            </c:numRef>
          </c:val>
          <c:extLst>
            <c:ext xmlns:c16="http://schemas.microsoft.com/office/drawing/2014/chart" uri="{C3380CC4-5D6E-409C-BE32-E72D297353CC}">
              <c16:uniqueId val="{00000000-A352-4950-9313-2A2386A67C9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64705.882352941175</c:v>
                </c:pt>
                <c:pt idx="1">
                  <c:v>78750</c:v>
                </c:pt>
              </c:numCache>
            </c:numRef>
          </c:val>
          <c:extLst>
            <c:ext xmlns:c16="http://schemas.microsoft.com/office/drawing/2014/chart" uri="{C3380CC4-5D6E-409C-BE32-E72D297353CC}">
              <c16:uniqueId val="{00000001-A352-4950-9313-2A2386A67C9B}"/>
            </c:ext>
          </c:extLst>
        </c:ser>
        <c:dLbls>
          <c:showLegendKey val="0"/>
          <c:showVal val="0"/>
          <c:showCatName val="0"/>
          <c:showSerName val="0"/>
          <c:showPercent val="0"/>
          <c:showBubbleSize val="0"/>
        </c:dLbls>
        <c:gapWidth val="219"/>
        <c:overlap val="-27"/>
        <c:axId val="850102576"/>
        <c:axId val="856393712"/>
      </c:barChart>
      <c:catAx>
        <c:axId val="850102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393712"/>
        <c:crosses val="autoZero"/>
        <c:auto val="1"/>
        <c:lblAlgn val="ctr"/>
        <c:lblOffset val="100"/>
        <c:noMultiLvlLbl val="0"/>
      </c:catAx>
      <c:valAx>
        <c:axId val="856393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102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Pivot Table ^0 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Table'!$A$19:$A$24</c:f>
              <c:strCache>
                <c:ptCount val="5"/>
                <c:pt idx="0">
                  <c:v>0-1 Miles</c:v>
                </c:pt>
                <c:pt idx="1">
                  <c:v>1-2 Miles</c:v>
                </c:pt>
                <c:pt idx="2">
                  <c:v>2-5 Miles</c:v>
                </c:pt>
                <c:pt idx="3">
                  <c:v>5-10 Miles</c:v>
                </c:pt>
                <c:pt idx="4">
                  <c:v>10+ Miles</c:v>
                </c:pt>
              </c:strCache>
            </c:strRef>
          </c:cat>
          <c:val>
            <c:numRef>
              <c:f>'Pivot Table'!$B$19:$B$24</c:f>
              <c:numCache>
                <c:formatCode>General</c:formatCode>
                <c:ptCount val="5"/>
                <c:pt idx="0">
                  <c:v>8</c:v>
                </c:pt>
                <c:pt idx="1">
                  <c:v>7</c:v>
                </c:pt>
                <c:pt idx="2">
                  <c:v>1</c:v>
                </c:pt>
                <c:pt idx="3">
                  <c:v>3</c:v>
                </c:pt>
                <c:pt idx="4">
                  <c:v>2</c:v>
                </c:pt>
              </c:numCache>
            </c:numRef>
          </c:val>
          <c:smooth val="0"/>
          <c:extLst>
            <c:ext xmlns:c16="http://schemas.microsoft.com/office/drawing/2014/chart" uri="{C3380CC4-5D6E-409C-BE32-E72D297353CC}">
              <c16:uniqueId val="{00000000-E00E-4195-83B8-4E7CC06F90E9}"/>
            </c:ext>
          </c:extLst>
        </c:ser>
        <c:ser>
          <c:idx val="1"/>
          <c:order val="1"/>
          <c:tx>
            <c:strRef>
              <c:f>'Pivot 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Table'!$A$19:$A$24</c:f>
              <c:strCache>
                <c:ptCount val="5"/>
                <c:pt idx="0">
                  <c:v>0-1 Miles</c:v>
                </c:pt>
                <c:pt idx="1">
                  <c:v>1-2 Miles</c:v>
                </c:pt>
                <c:pt idx="2">
                  <c:v>2-5 Miles</c:v>
                </c:pt>
                <c:pt idx="3">
                  <c:v>5-10 Miles</c:v>
                </c:pt>
                <c:pt idx="4">
                  <c:v>10+ Miles</c:v>
                </c:pt>
              </c:strCache>
            </c:strRef>
          </c:cat>
          <c:val>
            <c:numRef>
              <c:f>'Pivot Table'!$C$19:$C$24</c:f>
              <c:numCache>
                <c:formatCode>General</c:formatCode>
                <c:ptCount val="5"/>
                <c:pt idx="0">
                  <c:v>5</c:v>
                </c:pt>
                <c:pt idx="1">
                  <c:v>4</c:v>
                </c:pt>
                <c:pt idx="2">
                  <c:v>9</c:v>
                </c:pt>
                <c:pt idx="3">
                  <c:v>4</c:v>
                </c:pt>
                <c:pt idx="4">
                  <c:v>3</c:v>
                </c:pt>
              </c:numCache>
            </c:numRef>
          </c:val>
          <c:smooth val="0"/>
          <c:extLst>
            <c:ext xmlns:c16="http://schemas.microsoft.com/office/drawing/2014/chart" uri="{C3380CC4-5D6E-409C-BE32-E72D297353CC}">
              <c16:uniqueId val="{00000001-E00E-4195-83B8-4E7CC06F90E9}"/>
            </c:ext>
          </c:extLst>
        </c:ser>
        <c:dLbls>
          <c:showLegendKey val="0"/>
          <c:showVal val="0"/>
          <c:showCatName val="0"/>
          <c:showSerName val="0"/>
          <c:showPercent val="0"/>
          <c:showBubbleSize val="0"/>
        </c:dLbls>
        <c:marker val="1"/>
        <c:smooth val="0"/>
        <c:axId val="13130576"/>
        <c:axId val="13132016"/>
      </c:lineChart>
      <c:catAx>
        <c:axId val="13130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2016"/>
        <c:crosses val="autoZero"/>
        <c:auto val="1"/>
        <c:lblAlgn val="ctr"/>
        <c:lblOffset val="100"/>
        <c:noMultiLvlLbl val="0"/>
      </c:catAx>
      <c:valAx>
        <c:axId val="1313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Pivot Table ^0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Young Adult (18-34)</c:v>
                </c:pt>
                <c:pt idx="1">
                  <c:v>Middle Age (35-54)</c:v>
                </c:pt>
                <c:pt idx="2">
                  <c:v>Senior(55+)</c:v>
                </c:pt>
              </c:strCache>
            </c:strRef>
          </c:cat>
          <c:val>
            <c:numRef>
              <c:f>'Pivot Table'!$B$35:$B$38</c:f>
              <c:numCache>
                <c:formatCode>General</c:formatCode>
                <c:ptCount val="3"/>
                <c:pt idx="0">
                  <c:v>2</c:v>
                </c:pt>
                <c:pt idx="1">
                  <c:v>13</c:v>
                </c:pt>
                <c:pt idx="2">
                  <c:v>6</c:v>
                </c:pt>
              </c:numCache>
            </c:numRef>
          </c:val>
          <c:smooth val="0"/>
          <c:extLst>
            <c:ext xmlns:c16="http://schemas.microsoft.com/office/drawing/2014/chart" uri="{C3380CC4-5D6E-409C-BE32-E72D297353CC}">
              <c16:uniqueId val="{00000000-0A2E-4450-887B-F85B16DC8E8E}"/>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Young Adult (18-34)</c:v>
                </c:pt>
                <c:pt idx="1">
                  <c:v>Middle Age (35-54)</c:v>
                </c:pt>
                <c:pt idx="2">
                  <c:v>Senior(55+)</c:v>
                </c:pt>
              </c:strCache>
            </c:strRef>
          </c:cat>
          <c:val>
            <c:numRef>
              <c:f>'Pivot Table'!$C$35:$C$38</c:f>
              <c:numCache>
                <c:formatCode>General</c:formatCode>
                <c:ptCount val="3"/>
                <c:pt idx="0">
                  <c:v>3</c:v>
                </c:pt>
                <c:pt idx="1">
                  <c:v>18</c:v>
                </c:pt>
                <c:pt idx="2">
                  <c:v>4</c:v>
                </c:pt>
              </c:numCache>
            </c:numRef>
          </c:val>
          <c:smooth val="0"/>
          <c:extLst>
            <c:ext xmlns:c16="http://schemas.microsoft.com/office/drawing/2014/chart" uri="{C3380CC4-5D6E-409C-BE32-E72D297353CC}">
              <c16:uniqueId val="{00000001-0A2E-4450-887B-F85B16DC8E8E}"/>
            </c:ext>
          </c:extLst>
        </c:ser>
        <c:dLbls>
          <c:showLegendKey val="0"/>
          <c:showVal val="0"/>
          <c:showCatName val="0"/>
          <c:showSerName val="0"/>
          <c:showPercent val="0"/>
          <c:showBubbleSize val="0"/>
        </c:dLbls>
        <c:marker val="1"/>
        <c:smooth val="0"/>
        <c:axId val="552995216"/>
        <c:axId val="283386608"/>
      </c:lineChart>
      <c:catAx>
        <c:axId val="552995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2857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86608"/>
        <c:crosses val="autoZero"/>
        <c:auto val="1"/>
        <c:lblAlgn val="ctr"/>
        <c:lblOffset val="100"/>
        <c:noMultiLvlLbl val="0"/>
      </c:catAx>
      <c:valAx>
        <c:axId val="28338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99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349250</xdr:colOff>
      <xdr:row>1</xdr:row>
      <xdr:rowOff>146050</xdr:rowOff>
    </xdr:from>
    <xdr:to>
      <xdr:col>10</xdr:col>
      <xdr:colOff>431800</xdr:colOff>
      <xdr:row>15</xdr:row>
      <xdr:rowOff>88900</xdr:rowOff>
    </xdr:to>
    <xdr:graphicFrame macro="">
      <xdr:nvGraphicFramePr>
        <xdr:cNvPr id="2" name="Chart 1">
          <a:extLst>
            <a:ext uri="{FF2B5EF4-FFF2-40B4-BE49-F238E27FC236}">
              <a16:creationId xmlns:a16="http://schemas.microsoft.com/office/drawing/2014/main" id="{07DFE234-9087-85C3-88E3-5181019E1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101600</xdr:colOff>
      <xdr:row>15</xdr:row>
      <xdr:rowOff>177799</xdr:rowOff>
    </xdr:from>
    <xdr:to>
      <xdr:col>10</xdr:col>
      <xdr:colOff>508000</xdr:colOff>
      <xdr:row>28</xdr:row>
      <xdr:rowOff>152400</xdr:rowOff>
    </xdr:to>
    <xdr:graphicFrame macro="">
      <xdr:nvGraphicFramePr>
        <xdr:cNvPr id="3" name="Chart 2">
          <a:extLst>
            <a:ext uri="{FF2B5EF4-FFF2-40B4-BE49-F238E27FC236}">
              <a16:creationId xmlns:a16="http://schemas.microsoft.com/office/drawing/2014/main" id="{22E44CC4-9216-E5F5-587B-0367C7E5F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31</xdr:row>
      <xdr:rowOff>165100</xdr:rowOff>
    </xdr:from>
    <xdr:to>
      <xdr:col>10</xdr:col>
      <xdr:colOff>368300</xdr:colOff>
      <xdr:row>45</xdr:row>
      <xdr:rowOff>152399</xdr:rowOff>
    </xdr:to>
    <xdr:graphicFrame macro="">
      <xdr:nvGraphicFramePr>
        <xdr:cNvPr id="4" name="Chart 3">
          <a:extLst>
            <a:ext uri="{FF2B5EF4-FFF2-40B4-BE49-F238E27FC236}">
              <a16:creationId xmlns:a16="http://schemas.microsoft.com/office/drawing/2014/main" id="{1B37B525-98F4-143B-024F-8FB5EF31E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419100</xdr:colOff>
      <xdr:row>47</xdr:row>
      <xdr:rowOff>15875</xdr:rowOff>
    </xdr:from>
    <xdr:to>
      <xdr:col>12</xdr:col>
      <xdr:colOff>114300</xdr:colOff>
      <xdr:row>61</xdr:row>
      <xdr:rowOff>180975</xdr:rowOff>
    </xdr:to>
    <xdr:graphicFrame macro="">
      <xdr:nvGraphicFramePr>
        <xdr:cNvPr id="5" name="Chart 4">
          <a:extLst>
            <a:ext uri="{FF2B5EF4-FFF2-40B4-BE49-F238E27FC236}">
              <a16:creationId xmlns:a16="http://schemas.microsoft.com/office/drawing/2014/main" id="{8646EAEF-1CB0-F7E7-153B-3AA66656B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63500</xdr:colOff>
      <xdr:row>4</xdr:row>
      <xdr:rowOff>44450</xdr:rowOff>
    </xdr:from>
    <xdr:to>
      <xdr:col>7</xdr:col>
      <xdr:colOff>184150</xdr:colOff>
      <xdr:row>17</xdr:row>
      <xdr:rowOff>63500</xdr:rowOff>
    </xdr:to>
    <xdr:graphicFrame macro="">
      <xdr:nvGraphicFramePr>
        <xdr:cNvPr id="7" name="Chart 6">
          <a:extLst>
            <a:ext uri="{FF2B5EF4-FFF2-40B4-BE49-F238E27FC236}">
              <a16:creationId xmlns:a16="http://schemas.microsoft.com/office/drawing/2014/main" id="{CDFB6C04-BA47-44E0-B204-1DDE00D93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xdr:colOff>
      <xdr:row>17</xdr:row>
      <xdr:rowOff>165100</xdr:rowOff>
    </xdr:from>
    <xdr:to>
      <xdr:col>13</xdr:col>
      <xdr:colOff>0</xdr:colOff>
      <xdr:row>30</xdr:row>
      <xdr:rowOff>28575</xdr:rowOff>
    </xdr:to>
    <xdr:graphicFrame macro="">
      <xdr:nvGraphicFramePr>
        <xdr:cNvPr id="8" name="Chart 7">
          <a:extLst>
            <a:ext uri="{FF2B5EF4-FFF2-40B4-BE49-F238E27FC236}">
              <a16:creationId xmlns:a16="http://schemas.microsoft.com/office/drawing/2014/main" id="{23D33790-5734-4AB6-89BD-F356C2226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215900</xdr:colOff>
      <xdr:row>4</xdr:row>
      <xdr:rowOff>44450</xdr:rowOff>
    </xdr:from>
    <xdr:to>
      <xdr:col>12</xdr:col>
      <xdr:colOff>447675</xdr:colOff>
      <xdr:row>17</xdr:row>
      <xdr:rowOff>57149</xdr:rowOff>
    </xdr:to>
    <xdr:graphicFrame macro="">
      <xdr:nvGraphicFramePr>
        <xdr:cNvPr id="9" name="Chart 8">
          <a:extLst>
            <a:ext uri="{FF2B5EF4-FFF2-40B4-BE49-F238E27FC236}">
              <a16:creationId xmlns:a16="http://schemas.microsoft.com/office/drawing/2014/main" id="{DE89DBF2-4F2D-43D3-9B77-F8337B5F3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139700</xdr:colOff>
      <xdr:row>4</xdr:row>
      <xdr:rowOff>38101</xdr:rowOff>
    </xdr:from>
    <xdr:to>
      <xdr:col>1</xdr:col>
      <xdr:colOff>571500</xdr:colOff>
      <xdr:row>9</xdr:row>
      <xdr:rowOff>57151</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7CAEC58C-52F1-9B53-26EE-53B16F6DD3E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9700" y="641351"/>
              <a:ext cx="151765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16</xdr:row>
      <xdr:rowOff>38101</xdr:rowOff>
    </xdr:from>
    <xdr:to>
      <xdr:col>1</xdr:col>
      <xdr:colOff>571500</xdr:colOff>
      <xdr:row>25</xdr:row>
      <xdr:rowOff>123825</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F2487FDD-289C-4D88-D4A1-2907D679C8D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3350" y="2851151"/>
              <a:ext cx="15240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146050</xdr:colOff>
      <xdr:row>9</xdr:row>
      <xdr:rowOff>101601</xdr:rowOff>
    </xdr:from>
    <xdr:to>
      <xdr:col>1</xdr:col>
      <xdr:colOff>577850</xdr:colOff>
      <xdr:row>15</xdr:row>
      <xdr:rowOff>177800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318C332E-4455-5F09-A0AA-62D219B9C0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050" y="1625601"/>
              <a:ext cx="151765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1.830075115744" createdVersion="8" refreshedVersion="8" minRefreshableVersion="3" recordCount="1000" xr:uid="{AE59D16E-2F22-4F65-9085-BF19381EBF98}">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More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8">
        <s v="Middle Age (35-54)"/>
        <s v="Senior(55+)"/>
        <s v="Young Adult (18-34)"/>
        <s v="Middle Age" u="1"/>
        <s v="Senior" u="1"/>
        <s v="Young Adult"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408265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2"/>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2"/>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1"/>
    <x v="0"/>
  </r>
  <r>
    <n v="22400"/>
    <x v="0"/>
    <x v="1"/>
    <n v="10000"/>
    <n v="0"/>
    <x v="1"/>
    <s v="Manual"/>
    <s v="No"/>
    <n v="1"/>
    <x v="0"/>
    <x v="1"/>
    <x v="22"/>
    <x v="2"/>
    <x v="1"/>
  </r>
  <r>
    <n v="20942"/>
    <x v="1"/>
    <x v="0"/>
    <n v="20000"/>
    <n v="0"/>
    <x v="2"/>
    <s v="Manual"/>
    <s v="No"/>
    <n v="1"/>
    <x v="2"/>
    <x v="0"/>
    <x v="23"/>
    <x v="2"/>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2"/>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2"/>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2"/>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2"/>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2"/>
    <x v="0"/>
  </r>
  <r>
    <n v="20877"/>
    <x v="1"/>
    <x v="1"/>
    <n v="30000"/>
    <n v="1"/>
    <x v="0"/>
    <s v="Clerical"/>
    <s v="Yes"/>
    <n v="0"/>
    <x v="3"/>
    <x v="0"/>
    <x v="34"/>
    <x v="0"/>
    <x v="1"/>
  </r>
  <r>
    <n v="20729"/>
    <x v="0"/>
    <x v="0"/>
    <n v="40000"/>
    <n v="2"/>
    <x v="1"/>
    <s v="Clerical"/>
    <s v="No"/>
    <n v="1"/>
    <x v="0"/>
    <x v="0"/>
    <x v="17"/>
    <x v="2"/>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2"/>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2"/>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2"/>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2"/>
    <x v="0"/>
  </r>
  <r>
    <n v="12585"/>
    <x v="0"/>
    <x v="1"/>
    <n v="10000"/>
    <n v="1"/>
    <x v="2"/>
    <s v="Manual"/>
    <s v="Yes"/>
    <n v="0"/>
    <x v="1"/>
    <x v="1"/>
    <x v="40"/>
    <x v="2"/>
    <x v="1"/>
  </r>
  <r>
    <n v="18626"/>
    <x v="1"/>
    <x v="1"/>
    <n v="40000"/>
    <n v="2"/>
    <x v="1"/>
    <s v="Clerical"/>
    <s v="Yes"/>
    <n v="0"/>
    <x v="3"/>
    <x v="0"/>
    <x v="6"/>
    <x v="2"/>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2"/>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2"/>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2"/>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2"/>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2"/>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2"/>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2"/>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2"/>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2"/>
    <x v="0"/>
  </r>
  <r>
    <n v="29424"/>
    <x v="0"/>
    <x v="1"/>
    <n v="10000"/>
    <n v="0"/>
    <x v="3"/>
    <s v="Manual"/>
    <s v="Yes"/>
    <n v="2"/>
    <x v="0"/>
    <x v="0"/>
    <x v="21"/>
    <x v="2"/>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2"/>
    <x v="1"/>
  </r>
  <r>
    <n v="19183"/>
    <x v="1"/>
    <x v="1"/>
    <n v="10000"/>
    <n v="0"/>
    <x v="3"/>
    <s v="Manual"/>
    <s v="Yes"/>
    <n v="2"/>
    <x v="3"/>
    <x v="0"/>
    <x v="11"/>
    <x v="0"/>
    <x v="0"/>
  </r>
  <r>
    <n v="13683"/>
    <x v="1"/>
    <x v="0"/>
    <n v="30000"/>
    <n v="0"/>
    <x v="2"/>
    <s v="Manual"/>
    <s v="No"/>
    <n v="1"/>
    <x v="1"/>
    <x v="0"/>
    <x v="21"/>
    <x v="2"/>
    <x v="0"/>
  </r>
  <r>
    <n v="17848"/>
    <x v="1"/>
    <x v="1"/>
    <n v="30000"/>
    <n v="0"/>
    <x v="1"/>
    <s v="Clerical"/>
    <s v="No"/>
    <n v="1"/>
    <x v="1"/>
    <x v="0"/>
    <x v="23"/>
    <x v="2"/>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2"/>
    <x v="0"/>
  </r>
  <r>
    <n v="23608"/>
    <x v="0"/>
    <x v="0"/>
    <n v="150000"/>
    <n v="3"/>
    <x v="2"/>
    <s v="Professional"/>
    <s v="Yes"/>
    <n v="3"/>
    <x v="0"/>
    <x v="0"/>
    <x v="36"/>
    <x v="0"/>
    <x v="1"/>
  </r>
  <r>
    <n v="22538"/>
    <x v="1"/>
    <x v="0"/>
    <n v="10000"/>
    <n v="0"/>
    <x v="3"/>
    <s v="Manual"/>
    <s v="Yes"/>
    <n v="2"/>
    <x v="3"/>
    <x v="0"/>
    <x v="6"/>
    <x v="2"/>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2"/>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2"/>
    <x v="1"/>
  </r>
  <r>
    <n v="13690"/>
    <x v="1"/>
    <x v="0"/>
    <n v="20000"/>
    <n v="0"/>
    <x v="3"/>
    <s v="Manual"/>
    <s v="No"/>
    <n v="2"/>
    <x v="3"/>
    <x v="0"/>
    <x v="17"/>
    <x v="2"/>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2"/>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2"/>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2"/>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2"/>
    <x v="1"/>
  </r>
  <r>
    <n v="27169"/>
    <x v="1"/>
    <x v="1"/>
    <n v="30000"/>
    <n v="0"/>
    <x v="2"/>
    <s v="Manual"/>
    <s v="Yes"/>
    <n v="1"/>
    <x v="1"/>
    <x v="0"/>
    <x v="17"/>
    <x v="2"/>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2"/>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2"/>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2"/>
    <x v="0"/>
  </r>
  <r>
    <n v="25307"/>
    <x v="0"/>
    <x v="0"/>
    <n v="40000"/>
    <n v="1"/>
    <x v="0"/>
    <s v="Skilled Manual"/>
    <s v="Yes"/>
    <n v="1"/>
    <x v="3"/>
    <x v="0"/>
    <x v="21"/>
    <x v="2"/>
    <x v="1"/>
  </r>
  <r>
    <n v="14278"/>
    <x v="0"/>
    <x v="0"/>
    <n v="130000"/>
    <n v="0"/>
    <x v="4"/>
    <s v="Management"/>
    <s v="Yes"/>
    <n v="1"/>
    <x v="4"/>
    <x v="1"/>
    <x v="28"/>
    <x v="0"/>
    <x v="0"/>
  </r>
  <r>
    <n v="20711"/>
    <x v="0"/>
    <x v="0"/>
    <n v="40000"/>
    <n v="1"/>
    <x v="0"/>
    <s v="Skilled Manual"/>
    <s v="Yes"/>
    <n v="0"/>
    <x v="3"/>
    <x v="0"/>
    <x v="21"/>
    <x v="2"/>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2"/>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2"/>
    <x v="1"/>
  </r>
  <r>
    <n v="21554"/>
    <x v="1"/>
    <x v="0"/>
    <n v="80000"/>
    <n v="0"/>
    <x v="0"/>
    <s v="Professional"/>
    <s v="No"/>
    <n v="3"/>
    <x v="4"/>
    <x v="1"/>
    <x v="6"/>
    <x v="2"/>
    <x v="0"/>
  </r>
  <r>
    <n v="13662"/>
    <x v="1"/>
    <x v="1"/>
    <n v="20000"/>
    <n v="0"/>
    <x v="3"/>
    <s v="Manual"/>
    <s v="Yes"/>
    <n v="2"/>
    <x v="3"/>
    <x v="0"/>
    <x v="23"/>
    <x v="2"/>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2"/>
    <x v="1"/>
  </r>
  <r>
    <n v="18294"/>
    <x v="0"/>
    <x v="0"/>
    <n v="90000"/>
    <n v="1"/>
    <x v="0"/>
    <s v="Professional"/>
    <s v="Yes"/>
    <n v="1"/>
    <x v="2"/>
    <x v="1"/>
    <x v="30"/>
    <x v="0"/>
    <x v="0"/>
  </r>
  <r>
    <n v="28564"/>
    <x v="1"/>
    <x v="0"/>
    <n v="40000"/>
    <n v="2"/>
    <x v="1"/>
    <s v="Clerical"/>
    <s v="Yes"/>
    <n v="0"/>
    <x v="3"/>
    <x v="0"/>
    <x v="6"/>
    <x v="2"/>
    <x v="1"/>
  </r>
  <r>
    <n v="28521"/>
    <x v="1"/>
    <x v="1"/>
    <n v="40000"/>
    <n v="0"/>
    <x v="4"/>
    <s v="Clerical"/>
    <s v="No"/>
    <n v="0"/>
    <x v="0"/>
    <x v="0"/>
    <x v="4"/>
    <x v="0"/>
    <x v="1"/>
  </r>
  <r>
    <n v="15450"/>
    <x v="0"/>
    <x v="1"/>
    <n v="10000"/>
    <n v="1"/>
    <x v="4"/>
    <s v="Clerical"/>
    <s v="Yes"/>
    <n v="0"/>
    <x v="0"/>
    <x v="0"/>
    <x v="43"/>
    <x v="1"/>
    <x v="0"/>
  </r>
  <r>
    <n v="25681"/>
    <x v="1"/>
    <x v="0"/>
    <n v="30000"/>
    <n v="0"/>
    <x v="1"/>
    <s v="Clerical"/>
    <s v="No"/>
    <n v="1"/>
    <x v="1"/>
    <x v="0"/>
    <x v="23"/>
    <x v="2"/>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2"/>
    <x v="0"/>
  </r>
  <r>
    <n v="27835"/>
    <x v="0"/>
    <x v="1"/>
    <n v="20000"/>
    <n v="0"/>
    <x v="3"/>
    <s v="Manual"/>
    <s v="Yes"/>
    <n v="2"/>
    <x v="0"/>
    <x v="0"/>
    <x v="21"/>
    <x v="2"/>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2"/>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2"/>
    <x v="1"/>
  </r>
  <r>
    <n v="26012"/>
    <x v="0"/>
    <x v="1"/>
    <n v="80000"/>
    <n v="1"/>
    <x v="1"/>
    <s v="Skilled Manual"/>
    <s v="Yes"/>
    <n v="1"/>
    <x v="1"/>
    <x v="2"/>
    <x v="28"/>
    <x v="0"/>
    <x v="1"/>
  </r>
  <r>
    <n v="26575"/>
    <x v="1"/>
    <x v="0"/>
    <n v="40000"/>
    <n v="0"/>
    <x v="2"/>
    <s v="Skilled Manual"/>
    <s v="No"/>
    <n v="2"/>
    <x v="3"/>
    <x v="2"/>
    <x v="23"/>
    <x v="2"/>
    <x v="1"/>
  </r>
  <r>
    <n v="15559"/>
    <x v="0"/>
    <x v="1"/>
    <n v="60000"/>
    <n v="5"/>
    <x v="0"/>
    <s v="Professional"/>
    <s v="Yes"/>
    <n v="1"/>
    <x v="1"/>
    <x v="2"/>
    <x v="15"/>
    <x v="0"/>
    <x v="0"/>
  </r>
  <r>
    <n v="19235"/>
    <x v="0"/>
    <x v="0"/>
    <n v="50000"/>
    <n v="0"/>
    <x v="4"/>
    <s v="Skilled Manual"/>
    <s v="Yes"/>
    <n v="0"/>
    <x v="0"/>
    <x v="2"/>
    <x v="17"/>
    <x v="2"/>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2"/>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2"/>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2"/>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2"/>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2"/>
    <x v="1"/>
  </r>
  <r>
    <n v="13388"/>
    <x v="1"/>
    <x v="1"/>
    <n v="60000"/>
    <n v="2"/>
    <x v="1"/>
    <s v="Professional"/>
    <s v="Yes"/>
    <n v="1"/>
    <x v="4"/>
    <x v="2"/>
    <x v="16"/>
    <x v="1"/>
    <x v="0"/>
  </r>
  <r>
    <n v="18752"/>
    <x v="1"/>
    <x v="0"/>
    <n v="40000"/>
    <n v="0"/>
    <x v="2"/>
    <s v="Skilled Manual"/>
    <s v="Yes"/>
    <n v="1"/>
    <x v="2"/>
    <x v="2"/>
    <x v="23"/>
    <x v="2"/>
    <x v="0"/>
  </r>
  <r>
    <n v="16917"/>
    <x v="0"/>
    <x v="1"/>
    <n v="120000"/>
    <n v="1"/>
    <x v="0"/>
    <s v="Management"/>
    <s v="Yes"/>
    <n v="4"/>
    <x v="0"/>
    <x v="2"/>
    <x v="13"/>
    <x v="0"/>
    <x v="0"/>
  </r>
  <r>
    <n v="15313"/>
    <x v="0"/>
    <x v="1"/>
    <n v="60000"/>
    <n v="4"/>
    <x v="0"/>
    <s v="Management"/>
    <s v="Yes"/>
    <n v="2"/>
    <x v="1"/>
    <x v="2"/>
    <x v="14"/>
    <x v="1"/>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2"/>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2"/>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2"/>
    <x v="1"/>
  </r>
  <r>
    <n v="11287"/>
    <x v="0"/>
    <x v="1"/>
    <n v="70000"/>
    <n v="5"/>
    <x v="1"/>
    <s v="Professional"/>
    <s v="No"/>
    <n v="3"/>
    <x v="2"/>
    <x v="2"/>
    <x v="12"/>
    <x v="0"/>
    <x v="0"/>
  </r>
  <r>
    <n v="13066"/>
    <x v="1"/>
    <x v="1"/>
    <n v="30000"/>
    <n v="0"/>
    <x v="2"/>
    <s v="Skilled Manual"/>
    <s v="No"/>
    <n v="2"/>
    <x v="3"/>
    <x v="2"/>
    <x v="23"/>
    <x v="2"/>
    <x v="1"/>
  </r>
  <r>
    <n v="29106"/>
    <x v="1"/>
    <x v="1"/>
    <n v="40000"/>
    <n v="0"/>
    <x v="2"/>
    <s v="Skilled Manual"/>
    <s v="No"/>
    <n v="2"/>
    <x v="3"/>
    <x v="2"/>
    <x v="23"/>
    <x v="2"/>
    <x v="1"/>
  </r>
  <r>
    <n v="26236"/>
    <x v="0"/>
    <x v="0"/>
    <n v="40000"/>
    <n v="3"/>
    <x v="1"/>
    <s v="Clerical"/>
    <s v="Yes"/>
    <n v="1"/>
    <x v="0"/>
    <x v="2"/>
    <x v="23"/>
    <x v="2"/>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2"/>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2"/>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2"/>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2"/>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2"/>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2"/>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2"/>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2"/>
    <x v="1"/>
  </r>
  <r>
    <n v="25908"/>
    <x v="0"/>
    <x v="0"/>
    <n v="60000"/>
    <n v="0"/>
    <x v="1"/>
    <s v="Skilled Manual"/>
    <s v="No"/>
    <n v="1"/>
    <x v="3"/>
    <x v="2"/>
    <x v="40"/>
    <x v="2"/>
    <x v="0"/>
  </r>
  <r>
    <n v="16753"/>
    <x v="1"/>
    <x v="0"/>
    <n v="70000"/>
    <n v="0"/>
    <x v="1"/>
    <s v="Skilled Manual"/>
    <s v="Yes"/>
    <n v="2"/>
    <x v="2"/>
    <x v="2"/>
    <x v="17"/>
    <x v="2"/>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2"/>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2"/>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0"/>
    <x v="0"/>
  </r>
  <r>
    <n v="21417"/>
    <x v="1"/>
    <x v="0"/>
    <n v="60000"/>
    <n v="0"/>
    <x v="1"/>
    <s v="Professional"/>
    <s v="No"/>
    <n v="2"/>
    <x v="3"/>
    <x v="2"/>
    <x v="21"/>
    <x v="2"/>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2"/>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2"/>
    <x v="1"/>
  </r>
  <r>
    <n v="14271"/>
    <x v="0"/>
    <x v="1"/>
    <n v="30000"/>
    <n v="0"/>
    <x v="2"/>
    <s v="Skilled Manual"/>
    <s v="Yes"/>
    <n v="2"/>
    <x v="2"/>
    <x v="2"/>
    <x v="21"/>
    <x v="2"/>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2"/>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2"/>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2"/>
    <x v="0"/>
  </r>
  <r>
    <n v="18347"/>
    <x v="1"/>
    <x v="0"/>
    <n v="30000"/>
    <n v="0"/>
    <x v="1"/>
    <s v="Skilled Manual"/>
    <s v="No"/>
    <n v="1"/>
    <x v="3"/>
    <x v="2"/>
    <x v="23"/>
    <x v="2"/>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2"/>
    <x v="0"/>
  </r>
  <r>
    <n v="13714"/>
    <x v="0"/>
    <x v="0"/>
    <n v="20000"/>
    <n v="2"/>
    <x v="2"/>
    <s v="Manual"/>
    <s v="No"/>
    <n v="2"/>
    <x v="3"/>
    <x v="2"/>
    <x v="39"/>
    <x v="0"/>
    <x v="1"/>
  </r>
  <r>
    <n v="22330"/>
    <x v="0"/>
    <x v="1"/>
    <n v="50000"/>
    <n v="0"/>
    <x v="4"/>
    <s v="Skilled Manual"/>
    <s v="Yes"/>
    <n v="0"/>
    <x v="3"/>
    <x v="2"/>
    <x v="21"/>
    <x v="2"/>
    <x v="1"/>
  </r>
  <r>
    <n v="18783"/>
    <x v="1"/>
    <x v="1"/>
    <n v="80000"/>
    <n v="0"/>
    <x v="0"/>
    <s v="Management"/>
    <s v="No"/>
    <n v="1"/>
    <x v="0"/>
    <x v="2"/>
    <x v="13"/>
    <x v="0"/>
    <x v="1"/>
  </r>
  <r>
    <n v="25041"/>
    <x v="1"/>
    <x v="1"/>
    <n v="40000"/>
    <n v="0"/>
    <x v="2"/>
    <s v="Skilled Manual"/>
    <s v="Yes"/>
    <n v="2"/>
    <x v="2"/>
    <x v="2"/>
    <x v="23"/>
    <x v="2"/>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2"/>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2"/>
    <x v="0"/>
  </r>
  <r>
    <n v="11622"/>
    <x v="0"/>
    <x v="1"/>
    <n v="50000"/>
    <n v="0"/>
    <x v="4"/>
    <s v="Skilled Manual"/>
    <s v="Yes"/>
    <n v="0"/>
    <x v="0"/>
    <x v="2"/>
    <x v="21"/>
    <x v="2"/>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2"/>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2"/>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2"/>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2"/>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2"/>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2"/>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2"/>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2"/>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2"/>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922928-03D2-4A35-B545-B95A835853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8:D71"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2">
    <i>
      <x v="8"/>
    </i>
    <i>
      <x v="9"/>
    </i>
    <i>
      <x v="10"/>
    </i>
    <i>
      <x v="11"/>
    </i>
    <i>
      <x v="12"/>
    </i>
    <i>
      <x v="13"/>
    </i>
    <i>
      <x v="14"/>
    </i>
    <i>
      <x v="15"/>
    </i>
    <i>
      <x v="18"/>
    </i>
    <i>
      <x v="21"/>
    </i>
    <i>
      <x v="22"/>
    </i>
    <i>
      <x v="23"/>
    </i>
    <i>
      <x v="27"/>
    </i>
    <i>
      <x v="28"/>
    </i>
    <i>
      <x v="36"/>
    </i>
    <i>
      <x v="40"/>
    </i>
    <i>
      <x v="41"/>
    </i>
    <i>
      <x v="42"/>
    </i>
    <i>
      <x v="44"/>
    </i>
    <i>
      <x v="48"/>
    </i>
    <i>
      <x v="49"/>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A4EA01-67CC-47B3-9B11-969294C121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D38"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9">
        <item x="2"/>
        <item m="1" x="7"/>
        <item m="1" x="3"/>
        <item m="1" x="6"/>
        <item m="1" x="4"/>
        <item m="1" x="5"/>
        <item x="0"/>
        <item x="1"/>
        <item t="default"/>
      </items>
    </pivotField>
    <pivotField axis="axisCol" dataField="1" showAll="0">
      <items count="3">
        <item x="0"/>
        <item x="1"/>
        <item t="default"/>
      </items>
    </pivotField>
  </pivotFields>
  <rowFields count="1">
    <field x="12"/>
  </rowFields>
  <rowItems count="4">
    <i>
      <x/>
    </i>
    <i>
      <x v="6"/>
    </i>
    <i>
      <x v="7"/>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4DAB26-E3C5-4B94-8781-4BB17E7C35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D24"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x="3"/>
        <item x="1"/>
        <item x="2"/>
        <item x="4"/>
        <item m="1" x="5"/>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B5644C-E574-4AB9-B264-D106E48CC6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3">
    <format dxfId="2">
      <pivotArea outline="0" collapsedLevelsAreSubtotals="1" fieldPosition="0"/>
    </format>
    <format dxfId="1">
      <pivotArea field="2" grandCol="1" collapsedLevelsAreSubtotals="1" axis="axisRow" fieldPosition="0">
        <references count="1">
          <reference field="2" count="1">
            <x v="1"/>
          </reference>
        </references>
      </pivotArea>
    </format>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0FB52E8-2EA9-4C86-A8DB-8BB62A8B458D}" sourceName="Marital Status">
  <pivotTables>
    <pivotTable tabId="3" name="PivotTable2"/>
    <pivotTable tabId="3" name="PivotTable3"/>
    <pivotTable tabId="3" name="PivotTable4"/>
    <pivotTable tabId="3" name="PivotTable5"/>
  </pivotTables>
  <data>
    <tabular pivotCacheId="140826530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BF4457C-29F7-4E63-AC77-6720FC449606}" sourceName="Education">
  <pivotTables>
    <pivotTable tabId="3" name="PivotTable2"/>
    <pivotTable tabId="3" name="PivotTable3"/>
    <pivotTable tabId="3" name="PivotTable4"/>
    <pivotTable tabId="3" name="PivotTable5"/>
  </pivotTables>
  <data>
    <tabular pivotCacheId="1408265309">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0C325E-9B83-486B-9B68-597F6F230600}" sourceName="Region">
  <pivotTables>
    <pivotTable tabId="3" name="PivotTable2"/>
    <pivotTable tabId="3" name="PivotTable3"/>
    <pivotTable tabId="3" name="PivotTable4"/>
    <pivotTable tabId="3" name="PivotTable5"/>
  </pivotTables>
  <data>
    <tabular pivotCacheId="1408265309">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ED336BA-6D6D-47CC-9650-D320C0E5904E}" cache="Slicer_Marital_Status" caption="Marital Status" rowHeight="241300"/>
  <slicer name="Education" xr10:uid="{86626636-917C-4B44-8494-042E330A1D92}" cache="Slicer_Education" caption="Education" rowHeight="241300"/>
  <slicer name="Region" xr10:uid="{F5624EF2-04FA-4204-9DB0-CE746324FDE5}"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F0C426-3801-4CCF-A92E-5BED3171E7A0}" name="Table1" displayName="Table1" ref="A1:N1001" totalsRowShown="0">
  <autoFilter ref="A1:N1001" xr:uid="{A4B288B0-C54C-4080-A009-7A2A782148BF}"/>
  <tableColumns count="14">
    <tableColumn id="1" xr3:uid="{0F1407FF-BCB0-4F48-9562-1261CF995215}" name="ID"/>
    <tableColumn id="2" xr3:uid="{B4C71547-AD43-4E4A-97C2-CE44F7C66A38}" name="Marital Status"/>
    <tableColumn id="3" xr3:uid="{7613312F-1C41-41E4-AF86-F5B2B636961D}" name="Gender"/>
    <tableColumn id="4" xr3:uid="{4F82EFFA-149F-4A4F-8B2F-44264362386C}" name="Income" dataDxfId="4"/>
    <tableColumn id="5" xr3:uid="{A2699BD3-8474-4070-8DA5-FB330174A84D}" name="Children"/>
    <tableColumn id="6" xr3:uid="{1484595B-0435-48D9-A1DC-E72B18837ADD}" name="Education"/>
    <tableColumn id="7" xr3:uid="{531D6970-EFC5-43B0-92BE-156292E22D15}" name="Occupation"/>
    <tableColumn id="8" xr3:uid="{8ADC4206-F932-41FC-90E7-B05C44075FB3}" name="Home Owner"/>
    <tableColumn id="9" xr3:uid="{B35D0893-BE16-49D2-A90B-216FD10EF930}" name="Cars"/>
    <tableColumn id="10" xr3:uid="{2A7668D3-6EFA-4891-8470-2650D83791B3}" name="Commute Distance"/>
    <tableColumn id="11" xr3:uid="{BE224FE7-0F33-4400-8032-82EB9B1D67CB}" name="Region"/>
    <tableColumn id="12" xr3:uid="{8D999088-7783-49B8-AC52-31E8DBEA213E}" name="Age"/>
    <tableColumn id="13" xr3:uid="{EF960D4D-57D2-4926-B2DF-17D3E468DF50}" name="Age Brackets" dataDxfId="3">
      <calculatedColumnFormula>IF(L2&lt;18,"Adolescent(&lt;18)",IF(L2&lt;=34,"Young Adult (18-34)",IF(L2&lt;=54,"Middle Age (35-54)","Senior(55+)")))</calculatedColumnFormula>
    </tableColumn>
    <tableColumn id="14" xr3:uid="{09CEE04A-81B7-491B-8369-647591B07B17}" name="Purchased Bike"/>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4" sqref="F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288B0-C54C-4080-A009-7A2A782148BF}">
  <dimension ref="A1:N1001"/>
  <sheetViews>
    <sheetView topLeftCell="B1" workbookViewId="0">
      <selection activeCell="O13" sqref="O13"/>
    </sheetView>
  </sheetViews>
  <sheetFormatPr defaultColWidth="11.85546875" defaultRowHeight="15" x14ac:dyDescent="0.25"/>
  <cols>
    <col min="2" max="2" width="14.5703125" customWidth="1"/>
    <col min="4" max="4" width="11.85546875" style="3"/>
    <col min="6" max="6" width="16.28515625" bestFit="1" customWidth="1"/>
    <col min="7" max="7" width="12.42578125" customWidth="1"/>
    <col min="8" max="8" width="13.85546875" customWidth="1"/>
    <col min="10" max="10" width="18.7109375" customWidth="1"/>
    <col min="13" max="13" width="17.42578125"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 t="shared" ref="M2:M65" si="0">IF(L2&lt;18,"Adolescent(&lt;18)",IF(L2&lt;=34,"Young Adult (18-34)",IF(L2&lt;=54,"Middle Age (35-54)","Senior(55+)")))</f>
        <v>Middle Age (35-54)</v>
      </c>
      <c r="N2" t="s">
        <v>18</v>
      </c>
    </row>
    <row r="3" spans="1:14" x14ac:dyDescent="0.25">
      <c r="A3">
        <v>24107</v>
      </c>
      <c r="B3" t="s">
        <v>36</v>
      </c>
      <c r="C3" t="s">
        <v>39</v>
      </c>
      <c r="D3" s="3">
        <v>30000</v>
      </c>
      <c r="E3">
        <v>3</v>
      </c>
      <c r="F3" t="s">
        <v>19</v>
      </c>
      <c r="G3" t="s">
        <v>20</v>
      </c>
      <c r="H3" t="s">
        <v>15</v>
      </c>
      <c r="I3">
        <v>1</v>
      </c>
      <c r="J3" t="s">
        <v>16</v>
      </c>
      <c r="K3" t="s">
        <v>17</v>
      </c>
      <c r="L3">
        <v>43</v>
      </c>
      <c r="M3" t="str">
        <f t="shared" si="0"/>
        <v>Middle Age (35-54)</v>
      </c>
      <c r="N3" t="s">
        <v>18</v>
      </c>
    </row>
    <row r="4" spans="1:14" x14ac:dyDescent="0.25">
      <c r="A4">
        <v>14177</v>
      </c>
      <c r="B4" t="s">
        <v>36</v>
      </c>
      <c r="C4" t="s">
        <v>39</v>
      </c>
      <c r="D4" s="3">
        <v>80000</v>
      </c>
      <c r="E4">
        <v>5</v>
      </c>
      <c r="F4" t="s">
        <v>19</v>
      </c>
      <c r="G4" t="s">
        <v>21</v>
      </c>
      <c r="H4" t="s">
        <v>18</v>
      </c>
      <c r="I4">
        <v>2</v>
      </c>
      <c r="J4" t="s">
        <v>22</v>
      </c>
      <c r="K4" t="s">
        <v>17</v>
      </c>
      <c r="L4">
        <v>60</v>
      </c>
      <c r="M4" t="str">
        <f t="shared" si="0"/>
        <v>Senior(55+)</v>
      </c>
      <c r="N4" t="s">
        <v>18</v>
      </c>
    </row>
    <row r="5" spans="1:14" x14ac:dyDescent="0.25">
      <c r="A5">
        <v>24381</v>
      </c>
      <c r="B5" t="s">
        <v>37</v>
      </c>
      <c r="C5" t="s">
        <v>39</v>
      </c>
      <c r="D5" s="3">
        <v>70000</v>
      </c>
      <c r="E5">
        <v>0</v>
      </c>
      <c r="F5" t="s">
        <v>13</v>
      </c>
      <c r="G5" t="s">
        <v>21</v>
      </c>
      <c r="H5" t="s">
        <v>15</v>
      </c>
      <c r="I5">
        <v>1</v>
      </c>
      <c r="J5" t="s">
        <v>23</v>
      </c>
      <c r="K5" t="s">
        <v>24</v>
      </c>
      <c r="L5">
        <v>41</v>
      </c>
      <c r="M5" t="str">
        <f t="shared" si="0"/>
        <v>Middle Age (35-54)</v>
      </c>
      <c r="N5" t="s">
        <v>15</v>
      </c>
    </row>
    <row r="6" spans="1:14" x14ac:dyDescent="0.25">
      <c r="A6">
        <v>25597</v>
      </c>
      <c r="B6" t="s">
        <v>37</v>
      </c>
      <c r="C6" t="s">
        <v>39</v>
      </c>
      <c r="D6" s="3">
        <v>30000</v>
      </c>
      <c r="E6">
        <v>0</v>
      </c>
      <c r="F6" t="s">
        <v>13</v>
      </c>
      <c r="G6" t="s">
        <v>20</v>
      </c>
      <c r="H6" t="s">
        <v>18</v>
      </c>
      <c r="I6">
        <v>0</v>
      </c>
      <c r="J6" t="s">
        <v>16</v>
      </c>
      <c r="K6" t="s">
        <v>17</v>
      </c>
      <c r="L6">
        <v>36</v>
      </c>
      <c r="M6" t="str">
        <f t="shared" si="0"/>
        <v>Middle Age (35-54)</v>
      </c>
      <c r="N6" t="s">
        <v>15</v>
      </c>
    </row>
    <row r="7" spans="1:14" x14ac:dyDescent="0.25">
      <c r="A7">
        <v>13507</v>
      </c>
      <c r="B7" t="s">
        <v>36</v>
      </c>
      <c r="C7" t="s">
        <v>38</v>
      </c>
      <c r="D7" s="3">
        <v>10000</v>
      </c>
      <c r="E7">
        <v>2</v>
      </c>
      <c r="F7" t="s">
        <v>19</v>
      </c>
      <c r="G7" t="s">
        <v>25</v>
      </c>
      <c r="H7" t="s">
        <v>15</v>
      </c>
      <c r="I7">
        <v>0</v>
      </c>
      <c r="J7" t="s">
        <v>26</v>
      </c>
      <c r="K7" t="s">
        <v>17</v>
      </c>
      <c r="L7">
        <v>50</v>
      </c>
      <c r="M7" t="str">
        <f t="shared" si="0"/>
        <v>Middle Age (35-54)</v>
      </c>
      <c r="N7" t="s">
        <v>18</v>
      </c>
    </row>
    <row r="8" spans="1:14" x14ac:dyDescent="0.25">
      <c r="A8">
        <v>27974</v>
      </c>
      <c r="B8" t="s">
        <v>37</v>
      </c>
      <c r="C8" t="s">
        <v>39</v>
      </c>
      <c r="D8" s="3">
        <v>160000</v>
      </c>
      <c r="E8">
        <v>2</v>
      </c>
      <c r="F8" t="s">
        <v>27</v>
      </c>
      <c r="G8" t="s">
        <v>28</v>
      </c>
      <c r="H8" t="s">
        <v>15</v>
      </c>
      <c r="I8">
        <v>4</v>
      </c>
      <c r="J8" t="s">
        <v>16</v>
      </c>
      <c r="K8" t="s">
        <v>24</v>
      </c>
      <c r="L8">
        <v>33</v>
      </c>
      <c r="M8" t="str">
        <f t="shared" si="0"/>
        <v>Young Adult (18-34)</v>
      </c>
      <c r="N8" t="s">
        <v>15</v>
      </c>
    </row>
    <row r="9" spans="1:14" x14ac:dyDescent="0.25">
      <c r="A9">
        <v>19364</v>
      </c>
      <c r="B9" t="s">
        <v>36</v>
      </c>
      <c r="C9" t="s">
        <v>39</v>
      </c>
      <c r="D9" s="3">
        <v>40000</v>
      </c>
      <c r="E9">
        <v>1</v>
      </c>
      <c r="F9" t="s">
        <v>13</v>
      </c>
      <c r="G9" t="s">
        <v>14</v>
      </c>
      <c r="H9" t="s">
        <v>15</v>
      </c>
      <c r="I9">
        <v>0</v>
      </c>
      <c r="J9" t="s">
        <v>16</v>
      </c>
      <c r="K9" t="s">
        <v>17</v>
      </c>
      <c r="L9">
        <v>43</v>
      </c>
      <c r="M9" t="str">
        <f t="shared" si="0"/>
        <v>Middle Age (35-54)</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Senior(55+)</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 (35-54)</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 (35-54)</v>
      </c>
      <c r="N12" t="s">
        <v>15</v>
      </c>
    </row>
    <row r="13" spans="1:14" x14ac:dyDescent="0.25">
      <c r="A13">
        <v>12697</v>
      </c>
      <c r="B13" t="s">
        <v>37</v>
      </c>
      <c r="C13" t="s">
        <v>38</v>
      </c>
      <c r="D13" s="3">
        <v>90000</v>
      </c>
      <c r="E13">
        <v>0</v>
      </c>
      <c r="F13" t="s">
        <v>13</v>
      </c>
      <c r="G13" t="s">
        <v>21</v>
      </c>
      <c r="H13" t="s">
        <v>18</v>
      </c>
      <c r="I13">
        <v>4</v>
      </c>
      <c r="J13" t="s">
        <v>30</v>
      </c>
      <c r="K13" t="s">
        <v>24</v>
      </c>
      <c r="L13">
        <v>36</v>
      </c>
      <c r="M13" t="str">
        <f t="shared" si="0"/>
        <v>Middle Age (35-54)</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Senior(55+)</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 (35-54)</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 (35-54)</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 (35-54)</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Senior(55+)</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 (35-54)</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 (35-54)</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Senior(55+)</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 (35-54)</v>
      </c>
      <c r="N22" t="s">
        <v>15</v>
      </c>
    </row>
    <row r="23" spans="1:14" x14ac:dyDescent="0.25">
      <c r="A23">
        <v>21564</v>
      </c>
      <c r="B23" t="s">
        <v>37</v>
      </c>
      <c r="C23" t="s">
        <v>38</v>
      </c>
      <c r="D23" s="3">
        <v>80000</v>
      </c>
      <c r="E23">
        <v>0</v>
      </c>
      <c r="F23" t="s">
        <v>13</v>
      </c>
      <c r="G23" t="s">
        <v>21</v>
      </c>
      <c r="H23" t="s">
        <v>15</v>
      </c>
      <c r="I23">
        <v>4</v>
      </c>
      <c r="J23" t="s">
        <v>30</v>
      </c>
      <c r="K23" t="s">
        <v>24</v>
      </c>
      <c r="L23">
        <v>35</v>
      </c>
      <c r="M23" t="str">
        <f t="shared" si="0"/>
        <v>Middle Age (35-54)</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 (35-54)</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Senior(55+)</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Young Adult (18-34)</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Senior(55+)</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Young Adult (18-34)</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 (35-54)</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 (35-54)</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Young Adult (18-34)</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Senior(55+)</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Young Adult (18-34)</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Young Adult (18-34)</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 (35-54)</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Senior(55+)</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 (35-54)</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 (35-54)</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Young Adult (18-34)</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Young Adult (18-34)</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 (35-54)</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 (35-54)</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Senior(55+)</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 (35-54)</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 (35-54)</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 (35-54)</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Senior(55+)</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 (35-54)</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 (35-54)</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 (35-54)</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 (35-54)</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Young Adult (18-34)</v>
      </c>
      <c r="N52" t="s">
        <v>18</v>
      </c>
    </row>
    <row r="53" spans="1:14" x14ac:dyDescent="0.25">
      <c r="A53">
        <v>20619</v>
      </c>
      <c r="B53" t="s">
        <v>37</v>
      </c>
      <c r="C53" t="s">
        <v>39</v>
      </c>
      <c r="D53" s="3">
        <v>80000</v>
      </c>
      <c r="E53">
        <v>0</v>
      </c>
      <c r="F53" t="s">
        <v>13</v>
      </c>
      <c r="G53" t="s">
        <v>21</v>
      </c>
      <c r="H53" t="s">
        <v>18</v>
      </c>
      <c r="I53">
        <v>4</v>
      </c>
      <c r="J53" t="s">
        <v>30</v>
      </c>
      <c r="K53" t="s">
        <v>24</v>
      </c>
      <c r="L53">
        <v>35</v>
      </c>
      <c r="M53" t="str">
        <f t="shared" si="0"/>
        <v>Middle Age (35-54)</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Senior(55+)</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Senior(55+)</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 (35-54)</v>
      </c>
      <c r="N56" t="s">
        <v>18</v>
      </c>
    </row>
    <row r="57" spans="1:14" x14ac:dyDescent="0.25">
      <c r="A57">
        <v>28906</v>
      </c>
      <c r="B57" t="s">
        <v>36</v>
      </c>
      <c r="C57" t="s">
        <v>39</v>
      </c>
      <c r="D57" s="3">
        <v>80000</v>
      </c>
      <c r="E57">
        <v>4</v>
      </c>
      <c r="F57" t="s">
        <v>27</v>
      </c>
      <c r="G57" t="s">
        <v>21</v>
      </c>
      <c r="H57" t="s">
        <v>15</v>
      </c>
      <c r="I57">
        <v>2</v>
      </c>
      <c r="J57" t="s">
        <v>30</v>
      </c>
      <c r="K57" t="s">
        <v>17</v>
      </c>
      <c r="L57">
        <v>54</v>
      </c>
      <c r="M57" t="str">
        <f t="shared" si="0"/>
        <v>Middle Age (35-54)</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 (35-54)</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Senior(55+)</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 (35-54)</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 (35-54)</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 (35-54)</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 (35-54)</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 (35-54)</v>
      </c>
      <c r="N64" t="s">
        <v>15</v>
      </c>
    </row>
    <row r="65" spans="1:14" x14ac:dyDescent="0.25">
      <c r="A65">
        <v>16185</v>
      </c>
      <c r="B65" t="s">
        <v>37</v>
      </c>
      <c r="C65" t="s">
        <v>39</v>
      </c>
      <c r="D65" s="3">
        <v>60000</v>
      </c>
      <c r="E65">
        <v>4</v>
      </c>
      <c r="F65" t="s">
        <v>13</v>
      </c>
      <c r="G65" t="s">
        <v>21</v>
      </c>
      <c r="H65" t="s">
        <v>15</v>
      </c>
      <c r="I65">
        <v>3</v>
      </c>
      <c r="J65" t="s">
        <v>30</v>
      </c>
      <c r="K65" t="s">
        <v>24</v>
      </c>
      <c r="L65">
        <v>41</v>
      </c>
      <c r="M65" t="str">
        <f t="shared" si="0"/>
        <v>Middle Age (35-54)</v>
      </c>
      <c r="N65" t="s">
        <v>18</v>
      </c>
    </row>
    <row r="66" spans="1:14" x14ac:dyDescent="0.25">
      <c r="A66">
        <v>14927</v>
      </c>
      <c r="B66" t="s">
        <v>36</v>
      </c>
      <c r="C66" t="s">
        <v>38</v>
      </c>
      <c r="D66" s="3">
        <v>30000</v>
      </c>
      <c r="E66">
        <v>1</v>
      </c>
      <c r="F66" t="s">
        <v>13</v>
      </c>
      <c r="G66" t="s">
        <v>20</v>
      </c>
      <c r="H66" t="s">
        <v>15</v>
      </c>
      <c r="I66">
        <v>0</v>
      </c>
      <c r="J66" t="s">
        <v>16</v>
      </c>
      <c r="K66" t="s">
        <v>17</v>
      </c>
      <c r="L66">
        <v>37</v>
      </c>
      <c r="M66" t="str">
        <f t="shared" ref="M66:M129" si="1">IF(L66&lt;18,"Adolescent(&lt;18)",IF(L66&lt;=34,"Young Adult (18-34)",IF(L66&lt;=54,"Middle Age (35-54)","Senior(55+)")))</f>
        <v>Middle Age (35-54)</v>
      </c>
      <c r="N66" t="s">
        <v>15</v>
      </c>
    </row>
    <row r="67" spans="1:14" x14ac:dyDescent="0.25">
      <c r="A67">
        <v>29337</v>
      </c>
      <c r="B67" t="s">
        <v>37</v>
      </c>
      <c r="C67" t="s">
        <v>39</v>
      </c>
      <c r="D67" s="3">
        <v>30000</v>
      </c>
      <c r="E67">
        <v>2</v>
      </c>
      <c r="F67" t="s">
        <v>19</v>
      </c>
      <c r="G67" t="s">
        <v>20</v>
      </c>
      <c r="H67" t="s">
        <v>15</v>
      </c>
      <c r="I67">
        <v>2</v>
      </c>
      <c r="J67" t="s">
        <v>23</v>
      </c>
      <c r="K67" t="s">
        <v>24</v>
      </c>
      <c r="L67">
        <v>68</v>
      </c>
      <c r="M67" t="str">
        <f t="shared" si="1"/>
        <v>Senior(55+)</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 (35-54)</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Young Adult (18-34)</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 (35-54)</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Young Adult (18-34)</v>
      </c>
      <c r="N71" t="s">
        <v>18</v>
      </c>
    </row>
    <row r="72" spans="1:14" x14ac:dyDescent="0.25">
      <c r="A72">
        <v>14238</v>
      </c>
      <c r="B72" t="s">
        <v>36</v>
      </c>
      <c r="C72" t="s">
        <v>39</v>
      </c>
      <c r="D72" s="3">
        <v>120000</v>
      </c>
      <c r="E72">
        <v>0</v>
      </c>
      <c r="F72" t="s">
        <v>29</v>
      </c>
      <c r="G72" t="s">
        <v>21</v>
      </c>
      <c r="H72" t="s">
        <v>15</v>
      </c>
      <c r="I72">
        <v>4</v>
      </c>
      <c r="J72" t="s">
        <v>30</v>
      </c>
      <c r="K72" t="s">
        <v>24</v>
      </c>
      <c r="L72">
        <v>36</v>
      </c>
      <c r="M72" t="str">
        <f t="shared" si="1"/>
        <v>Middle Age (35-54)</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 (35-54)</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 (35-54)</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 (35-54)</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Senior(55+)</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Young Adult (18-34)</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Young Adult (18-34)</v>
      </c>
      <c r="N78" t="s">
        <v>18</v>
      </c>
    </row>
    <row r="79" spans="1:14" x14ac:dyDescent="0.25">
      <c r="A79">
        <v>27969</v>
      </c>
      <c r="B79" t="s">
        <v>36</v>
      </c>
      <c r="C79" t="s">
        <v>39</v>
      </c>
      <c r="D79" s="3">
        <v>80000</v>
      </c>
      <c r="E79">
        <v>0</v>
      </c>
      <c r="F79" t="s">
        <v>13</v>
      </c>
      <c r="G79" t="s">
        <v>21</v>
      </c>
      <c r="H79" t="s">
        <v>15</v>
      </c>
      <c r="I79">
        <v>2</v>
      </c>
      <c r="J79" t="s">
        <v>30</v>
      </c>
      <c r="K79" t="s">
        <v>24</v>
      </c>
      <c r="L79">
        <v>29</v>
      </c>
      <c r="M79" t="str">
        <f t="shared" si="1"/>
        <v>Young Adult (18-34)</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 (35-54)</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Senior(55+)</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 (35-54)</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 (35-54)</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 (35-54)</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Young Adult (18-34)</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 (35-54)</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Young Adult (18-34)</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 (35-54)</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 (35-54)</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Young Adult (18-34)</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 (35-54)</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Young Adult (18-34)</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Young Adult (18-34)</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 (35-54)</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Young Adult (18-34)</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Senior(55+)</v>
      </c>
      <c r="N96" t="s">
        <v>18</v>
      </c>
    </row>
    <row r="97" spans="1:14" x14ac:dyDescent="0.25">
      <c r="A97">
        <v>17197</v>
      </c>
      <c r="B97" t="s">
        <v>37</v>
      </c>
      <c r="C97" t="s">
        <v>38</v>
      </c>
      <c r="D97" s="3">
        <v>90000</v>
      </c>
      <c r="E97">
        <v>5</v>
      </c>
      <c r="F97" t="s">
        <v>19</v>
      </c>
      <c r="G97" t="s">
        <v>21</v>
      </c>
      <c r="H97" t="s">
        <v>15</v>
      </c>
      <c r="I97">
        <v>2</v>
      </c>
      <c r="J97" t="s">
        <v>30</v>
      </c>
      <c r="K97" t="s">
        <v>17</v>
      </c>
      <c r="L97">
        <v>62</v>
      </c>
      <c r="M97" t="str">
        <f t="shared" si="1"/>
        <v>Senior(55+)</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 (35-54)</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 (35-54)</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Young Adult (18-34)</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 (35-54)</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 (35-54)</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 (35-54)</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 (35-54)</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 (35-54)</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 (35-54)</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Young Adult (18-34)</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 (35-54)</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 (35-54)</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 (35-54)</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 (35-54)</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 (35-54)</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 (35-54)</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 (35-54)</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 (35-54)</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Young Adult (18-34)</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Young Adult (18-34)</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 (35-54)</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 (35-54)</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Senior(55+)</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Young Adult (18-34)</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Senior(55+)</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 (35-54)</v>
      </c>
      <c r="N123" t="s">
        <v>18</v>
      </c>
    </row>
    <row r="124" spans="1:14" x14ac:dyDescent="0.25">
      <c r="A124">
        <v>12344</v>
      </c>
      <c r="B124" t="s">
        <v>37</v>
      </c>
      <c r="C124" t="s">
        <v>38</v>
      </c>
      <c r="D124" s="3">
        <v>80000</v>
      </c>
      <c r="E124">
        <v>0</v>
      </c>
      <c r="F124" t="s">
        <v>13</v>
      </c>
      <c r="G124" t="s">
        <v>21</v>
      </c>
      <c r="H124" t="s">
        <v>18</v>
      </c>
      <c r="I124">
        <v>3</v>
      </c>
      <c r="J124" t="s">
        <v>30</v>
      </c>
      <c r="K124" t="s">
        <v>24</v>
      </c>
      <c r="L124">
        <v>31</v>
      </c>
      <c r="M124" t="str">
        <f t="shared" si="1"/>
        <v>Young Adult (18-34)</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Senior(55+)</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 (35-54)</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 (35-54)</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Young Adult (18-34)</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 (35-54)</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ref="M130:M193" si="2">IF(L130&lt;18,"Adolescent(&lt;18)",IF(L130&lt;=34,"Young Adult (18-34)",IF(L130&lt;=54,"Middle Age (35-54)","Senior(55+)")))</f>
        <v>Middle Age (35-54)</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si="2"/>
        <v>Middle Age (35-54)</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 (35-54)</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Senior(55+)</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 (35-54)</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Senior(55+)</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 (35-54)</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 (35-54)</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 (35-54)</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 (35-54)</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Senior(55+)</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Senior(55+)</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 (35-54)</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Young Adult (18-34)</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 (35-54)</v>
      </c>
      <c r="N144" t="s">
        <v>15</v>
      </c>
    </row>
    <row r="145" spans="1:14" x14ac:dyDescent="0.25">
      <c r="A145">
        <v>16614</v>
      </c>
      <c r="B145" t="s">
        <v>36</v>
      </c>
      <c r="C145" t="s">
        <v>38</v>
      </c>
      <c r="D145" s="3">
        <v>80000</v>
      </c>
      <c r="E145">
        <v>0</v>
      </c>
      <c r="F145" t="s">
        <v>13</v>
      </c>
      <c r="G145" t="s">
        <v>21</v>
      </c>
      <c r="H145" t="s">
        <v>15</v>
      </c>
      <c r="I145">
        <v>3</v>
      </c>
      <c r="J145" t="s">
        <v>30</v>
      </c>
      <c r="K145" t="s">
        <v>24</v>
      </c>
      <c r="L145">
        <v>32</v>
      </c>
      <c r="M145" t="str">
        <f t="shared" si="2"/>
        <v>Young Adult (18-34)</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 (35-54)</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Young Adult (18-34)</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 (35-54)</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 (35-54)</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Senior(55+)</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Young Adult (18-34)</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 (35-54)</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 (35-54)</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Young Adult (18-34)</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 (35-54)</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 (35-54)</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 (35-54)</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Senior(55+)</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 (35-54)</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 (35-54)</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 (35-54)</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 (35-54)</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 (35-54)</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 (35-54)</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 (35-54)</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Young Adult (18-34)</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Young Adult (18-34)</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 (35-54)</v>
      </c>
      <c r="N168" t="s">
        <v>15</v>
      </c>
    </row>
    <row r="169" spans="1:14" x14ac:dyDescent="0.25">
      <c r="A169">
        <v>14233</v>
      </c>
      <c r="B169" t="s">
        <v>37</v>
      </c>
      <c r="C169" t="s">
        <v>39</v>
      </c>
      <c r="D169" s="3">
        <v>100000</v>
      </c>
      <c r="E169">
        <v>0</v>
      </c>
      <c r="F169" t="s">
        <v>27</v>
      </c>
      <c r="G169" t="s">
        <v>28</v>
      </c>
      <c r="H169" t="s">
        <v>15</v>
      </c>
      <c r="I169">
        <v>3</v>
      </c>
      <c r="J169" t="s">
        <v>30</v>
      </c>
      <c r="K169" t="s">
        <v>24</v>
      </c>
      <c r="L169">
        <v>35</v>
      </c>
      <c r="M169" t="str">
        <f t="shared" si="2"/>
        <v>Middle Age (35-54)</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 (35-54)</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 (35-54)</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Senior(55+)</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Senior(55+)</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Young Adult (18-34)</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Young Adult (18-34)</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 (35-54)</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 (35-54)</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Young Adult (18-34)</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 (35-54)</v>
      </c>
      <c r="N179" t="s">
        <v>18</v>
      </c>
    </row>
    <row r="180" spans="1:14" x14ac:dyDescent="0.25">
      <c r="A180">
        <v>14191</v>
      </c>
      <c r="B180" t="s">
        <v>36</v>
      </c>
      <c r="C180" t="s">
        <v>39</v>
      </c>
      <c r="D180" s="3">
        <v>160000</v>
      </c>
      <c r="E180">
        <v>4</v>
      </c>
      <c r="F180" t="s">
        <v>19</v>
      </c>
      <c r="G180" t="s">
        <v>21</v>
      </c>
      <c r="H180" t="s">
        <v>18</v>
      </c>
      <c r="I180">
        <v>2</v>
      </c>
      <c r="J180" t="s">
        <v>30</v>
      </c>
      <c r="K180" t="s">
        <v>17</v>
      </c>
      <c r="L180">
        <v>55</v>
      </c>
      <c r="M180" t="str">
        <f t="shared" si="2"/>
        <v>Senior(55+)</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 (35-54)</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 (35-54)</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Senior(55+)</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 (35-54)</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Senior(55+)</v>
      </c>
      <c r="N185" t="s">
        <v>15</v>
      </c>
    </row>
    <row r="186" spans="1:14" x14ac:dyDescent="0.25">
      <c r="A186">
        <v>28918</v>
      </c>
      <c r="B186" t="s">
        <v>36</v>
      </c>
      <c r="C186" t="s">
        <v>38</v>
      </c>
      <c r="D186" s="3">
        <v>130000</v>
      </c>
      <c r="E186">
        <v>4</v>
      </c>
      <c r="F186" t="s">
        <v>27</v>
      </c>
      <c r="G186" t="s">
        <v>28</v>
      </c>
      <c r="H186" t="s">
        <v>18</v>
      </c>
      <c r="I186">
        <v>4</v>
      </c>
      <c r="J186" t="s">
        <v>30</v>
      </c>
      <c r="K186" t="s">
        <v>17</v>
      </c>
      <c r="L186">
        <v>58</v>
      </c>
      <c r="M186" t="str">
        <f t="shared" si="2"/>
        <v>Senior(55+)</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 (35-54)</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Senior(55+)</v>
      </c>
      <c r="N188" t="s">
        <v>15</v>
      </c>
    </row>
    <row r="189" spans="1:14" x14ac:dyDescent="0.25">
      <c r="A189">
        <v>18151</v>
      </c>
      <c r="B189" t="s">
        <v>37</v>
      </c>
      <c r="C189" t="s">
        <v>39</v>
      </c>
      <c r="D189" s="3">
        <v>80000</v>
      </c>
      <c r="E189">
        <v>5</v>
      </c>
      <c r="F189" t="s">
        <v>19</v>
      </c>
      <c r="G189" t="s">
        <v>21</v>
      </c>
      <c r="H189" t="s">
        <v>18</v>
      </c>
      <c r="I189">
        <v>2</v>
      </c>
      <c r="J189" t="s">
        <v>30</v>
      </c>
      <c r="K189" t="s">
        <v>17</v>
      </c>
      <c r="L189">
        <v>59</v>
      </c>
      <c r="M189" t="str">
        <f t="shared" si="2"/>
        <v>Senior(55+)</v>
      </c>
      <c r="N189" t="s">
        <v>18</v>
      </c>
    </row>
    <row r="190" spans="1:14" x14ac:dyDescent="0.25">
      <c r="A190">
        <v>20606</v>
      </c>
      <c r="B190" t="s">
        <v>36</v>
      </c>
      <c r="C190" t="s">
        <v>38</v>
      </c>
      <c r="D190" s="3">
        <v>70000</v>
      </c>
      <c r="E190">
        <v>0</v>
      </c>
      <c r="F190" t="s">
        <v>13</v>
      </c>
      <c r="G190" t="s">
        <v>21</v>
      </c>
      <c r="H190" t="s">
        <v>15</v>
      </c>
      <c r="I190">
        <v>4</v>
      </c>
      <c r="J190" t="s">
        <v>30</v>
      </c>
      <c r="K190" t="s">
        <v>24</v>
      </c>
      <c r="L190">
        <v>32</v>
      </c>
      <c r="M190" t="str">
        <f t="shared" si="2"/>
        <v>Young Adult (18-34)</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 (35-54)</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Senior(55+)</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 (35-54)</v>
      </c>
      <c r="N193" t="s">
        <v>15</v>
      </c>
    </row>
    <row r="194" spans="1:14" x14ac:dyDescent="0.25">
      <c r="A194">
        <v>15682</v>
      </c>
      <c r="B194" t="s">
        <v>37</v>
      </c>
      <c r="C194" t="s">
        <v>38</v>
      </c>
      <c r="D194" s="3">
        <v>80000</v>
      </c>
      <c r="E194">
        <v>5</v>
      </c>
      <c r="F194" t="s">
        <v>13</v>
      </c>
      <c r="G194" t="s">
        <v>28</v>
      </c>
      <c r="H194" t="s">
        <v>15</v>
      </c>
      <c r="I194">
        <v>2</v>
      </c>
      <c r="J194" t="s">
        <v>30</v>
      </c>
      <c r="K194" t="s">
        <v>17</v>
      </c>
      <c r="L194">
        <v>62</v>
      </c>
      <c r="M194" t="str">
        <f t="shared" ref="M194:M257" si="3">IF(L194&lt;18,"Adolescent(&lt;18)",IF(L194&lt;=34,"Young Adult (18-34)",IF(L194&lt;=54,"Middle Age (35-54)","Senior(55+)")))</f>
        <v>Senior(55+)</v>
      </c>
      <c r="N194" t="s">
        <v>18</v>
      </c>
    </row>
    <row r="195" spans="1:14" x14ac:dyDescent="0.25">
      <c r="A195">
        <v>26032</v>
      </c>
      <c r="B195" t="s">
        <v>36</v>
      </c>
      <c r="C195" t="s">
        <v>38</v>
      </c>
      <c r="D195" s="3">
        <v>70000</v>
      </c>
      <c r="E195">
        <v>5</v>
      </c>
      <c r="F195" t="s">
        <v>13</v>
      </c>
      <c r="G195" t="s">
        <v>21</v>
      </c>
      <c r="H195" t="s">
        <v>15</v>
      </c>
      <c r="I195">
        <v>4</v>
      </c>
      <c r="J195" t="s">
        <v>30</v>
      </c>
      <c r="K195" t="s">
        <v>24</v>
      </c>
      <c r="L195">
        <v>41</v>
      </c>
      <c r="M195" t="str">
        <f t="shared" si="3"/>
        <v>Middle Age (35-54)</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Young Adult (18-34)</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Young Adult (18-34)</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 (35-54)</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Senior(55+)</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 (35-54)</v>
      </c>
      <c r="N200" t="s">
        <v>15</v>
      </c>
    </row>
    <row r="201" spans="1:14" x14ac:dyDescent="0.25">
      <c r="A201">
        <v>11453</v>
      </c>
      <c r="B201" t="s">
        <v>37</v>
      </c>
      <c r="C201" t="s">
        <v>39</v>
      </c>
      <c r="D201" s="3">
        <v>80000</v>
      </c>
      <c r="E201">
        <v>0</v>
      </c>
      <c r="F201" t="s">
        <v>13</v>
      </c>
      <c r="G201" t="s">
        <v>21</v>
      </c>
      <c r="H201" t="s">
        <v>18</v>
      </c>
      <c r="I201">
        <v>3</v>
      </c>
      <c r="J201" t="s">
        <v>30</v>
      </c>
      <c r="K201" t="s">
        <v>24</v>
      </c>
      <c r="L201">
        <v>33</v>
      </c>
      <c r="M201" t="str">
        <f t="shared" si="3"/>
        <v>Young Adult (18-34)</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Young Adult (18-34)</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Young Adult (18-34)</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Young Adult (18-34)</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 (35-54)</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 (35-54)</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 (35-54)</v>
      </c>
      <c r="N207" t="s">
        <v>15</v>
      </c>
    </row>
    <row r="208" spans="1:14" x14ac:dyDescent="0.25">
      <c r="A208">
        <v>11415</v>
      </c>
      <c r="B208" t="s">
        <v>37</v>
      </c>
      <c r="C208" t="s">
        <v>39</v>
      </c>
      <c r="D208" s="3">
        <v>90000</v>
      </c>
      <c r="E208">
        <v>5</v>
      </c>
      <c r="F208" t="s">
        <v>19</v>
      </c>
      <c r="G208" t="s">
        <v>21</v>
      </c>
      <c r="H208" t="s">
        <v>18</v>
      </c>
      <c r="I208">
        <v>2</v>
      </c>
      <c r="J208" t="s">
        <v>30</v>
      </c>
      <c r="K208" t="s">
        <v>17</v>
      </c>
      <c r="L208">
        <v>62</v>
      </c>
      <c r="M208" t="str">
        <f t="shared" si="3"/>
        <v>Senior(55+)</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Young Adult (18-34)</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 (35-54)</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 (35-54)</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 (35-54)</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 (35-54)</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Young Adult (18-34)</v>
      </c>
      <c r="N214" t="s">
        <v>18</v>
      </c>
    </row>
    <row r="215" spans="1:14" x14ac:dyDescent="0.25">
      <c r="A215">
        <v>11451</v>
      </c>
      <c r="B215" t="s">
        <v>37</v>
      </c>
      <c r="C215" t="s">
        <v>39</v>
      </c>
      <c r="D215" s="3">
        <v>70000</v>
      </c>
      <c r="E215">
        <v>0</v>
      </c>
      <c r="F215" t="s">
        <v>13</v>
      </c>
      <c r="G215" t="s">
        <v>21</v>
      </c>
      <c r="H215" t="s">
        <v>18</v>
      </c>
      <c r="I215">
        <v>4</v>
      </c>
      <c r="J215" t="s">
        <v>30</v>
      </c>
      <c r="K215" t="s">
        <v>24</v>
      </c>
      <c r="L215">
        <v>31</v>
      </c>
      <c r="M215" t="str">
        <f t="shared" si="3"/>
        <v>Young Adult (18-34)</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Senior(55+)</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 (35-54)</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 (35-54)</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Young Adult (18-34)</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 (35-54)</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Young Adult (18-34)</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 (35-54)</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 (35-54)</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 (35-54)</v>
      </c>
      <c r="N224" t="s">
        <v>18</v>
      </c>
    </row>
    <row r="225" spans="1:14" x14ac:dyDescent="0.25">
      <c r="A225">
        <v>18711</v>
      </c>
      <c r="B225" t="s">
        <v>37</v>
      </c>
      <c r="C225" t="s">
        <v>38</v>
      </c>
      <c r="D225" s="3">
        <v>70000</v>
      </c>
      <c r="E225">
        <v>5</v>
      </c>
      <c r="F225" t="s">
        <v>13</v>
      </c>
      <c r="G225" t="s">
        <v>21</v>
      </c>
      <c r="H225" t="s">
        <v>15</v>
      </c>
      <c r="I225">
        <v>4</v>
      </c>
      <c r="J225" t="s">
        <v>30</v>
      </c>
      <c r="K225" t="s">
        <v>24</v>
      </c>
      <c r="L225">
        <v>39</v>
      </c>
      <c r="M225" t="str">
        <f t="shared" si="3"/>
        <v>Middle Age (35-54)</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Senior(55+)</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 (35-54)</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 (35-54)</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 (35-54)</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 (35-54)</v>
      </c>
      <c r="N230" t="s">
        <v>18</v>
      </c>
    </row>
    <row r="231" spans="1:14" x14ac:dyDescent="0.25">
      <c r="A231">
        <v>28915</v>
      </c>
      <c r="B231" t="s">
        <v>37</v>
      </c>
      <c r="C231" t="s">
        <v>39</v>
      </c>
      <c r="D231" s="3">
        <v>80000</v>
      </c>
      <c r="E231">
        <v>5</v>
      </c>
      <c r="F231" t="s">
        <v>27</v>
      </c>
      <c r="G231" t="s">
        <v>28</v>
      </c>
      <c r="H231" t="s">
        <v>15</v>
      </c>
      <c r="I231">
        <v>3</v>
      </c>
      <c r="J231" t="s">
        <v>30</v>
      </c>
      <c r="K231" t="s">
        <v>17</v>
      </c>
      <c r="L231">
        <v>57</v>
      </c>
      <c r="M231" t="str">
        <f t="shared" si="3"/>
        <v>Senior(55+)</v>
      </c>
      <c r="N231" t="s">
        <v>18</v>
      </c>
    </row>
    <row r="232" spans="1:14" x14ac:dyDescent="0.25">
      <c r="A232">
        <v>22830</v>
      </c>
      <c r="B232" t="s">
        <v>36</v>
      </c>
      <c r="C232" t="s">
        <v>39</v>
      </c>
      <c r="D232" s="3">
        <v>120000</v>
      </c>
      <c r="E232">
        <v>4</v>
      </c>
      <c r="F232" t="s">
        <v>19</v>
      </c>
      <c r="G232" t="s">
        <v>28</v>
      </c>
      <c r="H232" t="s">
        <v>15</v>
      </c>
      <c r="I232">
        <v>3</v>
      </c>
      <c r="J232" t="s">
        <v>30</v>
      </c>
      <c r="K232" t="s">
        <v>17</v>
      </c>
      <c r="L232">
        <v>56</v>
      </c>
      <c r="M232" t="str">
        <f t="shared" si="3"/>
        <v>Senior(55+)</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 (35-54)</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 (35-54)</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Young Adult (18-34)</v>
      </c>
      <c r="N235" t="s">
        <v>15</v>
      </c>
    </row>
    <row r="236" spans="1:14" x14ac:dyDescent="0.25">
      <c r="A236">
        <v>24611</v>
      </c>
      <c r="B236" t="s">
        <v>37</v>
      </c>
      <c r="C236" t="s">
        <v>39</v>
      </c>
      <c r="D236" s="3">
        <v>90000</v>
      </c>
      <c r="E236">
        <v>0</v>
      </c>
      <c r="F236" t="s">
        <v>13</v>
      </c>
      <c r="G236" t="s">
        <v>21</v>
      </c>
      <c r="H236" t="s">
        <v>18</v>
      </c>
      <c r="I236">
        <v>4</v>
      </c>
      <c r="J236" t="s">
        <v>30</v>
      </c>
      <c r="K236" t="s">
        <v>24</v>
      </c>
      <c r="L236">
        <v>35</v>
      </c>
      <c r="M236" t="str">
        <f t="shared" si="3"/>
        <v>Middle Age (35-54)</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Senior(55+)</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 (35-54)</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Young Adult (18-34)</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 (35-54)</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Young Adult (18-34)</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 (35-54)</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Young Adult (18-34)</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 (35-54)</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Young Adult (18-34)</v>
      </c>
      <c r="N245" t="s">
        <v>18</v>
      </c>
    </row>
    <row r="246" spans="1:14" x14ac:dyDescent="0.25">
      <c r="A246">
        <v>19057</v>
      </c>
      <c r="B246" t="s">
        <v>36</v>
      </c>
      <c r="C246" t="s">
        <v>38</v>
      </c>
      <c r="D246" s="3">
        <v>120000</v>
      </c>
      <c r="E246">
        <v>3</v>
      </c>
      <c r="F246" t="s">
        <v>13</v>
      </c>
      <c r="G246" t="s">
        <v>28</v>
      </c>
      <c r="H246" t="s">
        <v>18</v>
      </c>
      <c r="I246">
        <v>2</v>
      </c>
      <c r="J246" t="s">
        <v>30</v>
      </c>
      <c r="K246" t="s">
        <v>17</v>
      </c>
      <c r="L246">
        <v>52</v>
      </c>
      <c r="M246" t="str">
        <f t="shared" si="3"/>
        <v>Middle Age (35-54)</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 (35-54)</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 (35-54)</v>
      </c>
      <c r="N248" t="s">
        <v>15</v>
      </c>
    </row>
    <row r="249" spans="1:14" x14ac:dyDescent="0.25">
      <c r="A249">
        <v>21568</v>
      </c>
      <c r="B249" t="s">
        <v>36</v>
      </c>
      <c r="C249" t="s">
        <v>38</v>
      </c>
      <c r="D249" s="3">
        <v>100000</v>
      </c>
      <c r="E249">
        <v>0</v>
      </c>
      <c r="F249" t="s">
        <v>27</v>
      </c>
      <c r="G249" t="s">
        <v>28</v>
      </c>
      <c r="H249" t="s">
        <v>15</v>
      </c>
      <c r="I249">
        <v>4</v>
      </c>
      <c r="J249" t="s">
        <v>30</v>
      </c>
      <c r="K249" t="s">
        <v>24</v>
      </c>
      <c r="L249">
        <v>34</v>
      </c>
      <c r="M249" t="str">
        <f t="shared" si="3"/>
        <v>Young Adult (18-34)</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Senior(55+)</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 (35-54)</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Senior(55+)</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Senior(55+)</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Young Adult (18-34)</v>
      </c>
      <c r="N254" t="s">
        <v>18</v>
      </c>
    </row>
    <row r="255" spans="1:14" x14ac:dyDescent="0.25">
      <c r="A255">
        <v>20598</v>
      </c>
      <c r="B255" t="s">
        <v>36</v>
      </c>
      <c r="C255" t="s">
        <v>39</v>
      </c>
      <c r="D255" s="3">
        <v>100000</v>
      </c>
      <c r="E255">
        <v>3</v>
      </c>
      <c r="F255" t="s">
        <v>29</v>
      </c>
      <c r="G255" t="s">
        <v>21</v>
      </c>
      <c r="H255" t="s">
        <v>15</v>
      </c>
      <c r="I255">
        <v>0</v>
      </c>
      <c r="J255" t="s">
        <v>30</v>
      </c>
      <c r="K255" t="s">
        <v>17</v>
      </c>
      <c r="L255">
        <v>59</v>
      </c>
      <c r="M255" t="str">
        <f t="shared" si="3"/>
        <v>Senior(55+)</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Senior(55+)</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 (35-54)</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ref="M258:M321" si="4">IF(L258&lt;18,"Adolescent(&lt;18)",IF(L258&lt;=34,"Young Adult (18-34)",IF(L258&lt;=54,"Middle Age (35-54)","Senior(55+)")))</f>
        <v>Middle Age (35-54)</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si="4"/>
        <v>Middle Age (35-54)</v>
      </c>
      <c r="N259" t="s">
        <v>15</v>
      </c>
    </row>
    <row r="260" spans="1:14" x14ac:dyDescent="0.25">
      <c r="A260">
        <v>14193</v>
      </c>
      <c r="B260" t="s">
        <v>37</v>
      </c>
      <c r="C260" t="s">
        <v>38</v>
      </c>
      <c r="D260" s="3">
        <v>100000</v>
      </c>
      <c r="E260">
        <v>3</v>
      </c>
      <c r="F260" t="s">
        <v>19</v>
      </c>
      <c r="G260" t="s">
        <v>28</v>
      </c>
      <c r="H260" t="s">
        <v>15</v>
      </c>
      <c r="I260">
        <v>4</v>
      </c>
      <c r="J260" t="s">
        <v>30</v>
      </c>
      <c r="K260" t="s">
        <v>17</v>
      </c>
      <c r="L260">
        <v>56</v>
      </c>
      <c r="M260" t="str">
        <f t="shared" si="4"/>
        <v>Senior(55+)</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 (35-54)</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 (35-54)</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Young Adult (18-34)</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 (35-54)</v>
      </c>
      <c r="N264" t="s">
        <v>18</v>
      </c>
    </row>
    <row r="265" spans="1:14" x14ac:dyDescent="0.25">
      <c r="A265">
        <v>23419</v>
      </c>
      <c r="B265" t="s">
        <v>37</v>
      </c>
      <c r="C265" t="s">
        <v>38</v>
      </c>
      <c r="D265" s="3">
        <v>70000</v>
      </c>
      <c r="E265">
        <v>5</v>
      </c>
      <c r="F265" t="s">
        <v>13</v>
      </c>
      <c r="G265" t="s">
        <v>21</v>
      </c>
      <c r="H265" t="s">
        <v>15</v>
      </c>
      <c r="I265">
        <v>3</v>
      </c>
      <c r="J265" t="s">
        <v>30</v>
      </c>
      <c r="K265" t="s">
        <v>24</v>
      </c>
      <c r="L265">
        <v>39</v>
      </c>
      <c r="M265" t="str">
        <f t="shared" si="4"/>
        <v>Middle Age (35-54)</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 (35-54)</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 (35-54)</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Young Adult (18-34)</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 (35-54)</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 (35-54)</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 (35-54)</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 (35-54)</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Young Adult (18-34)</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 (35-54)</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Young Adult (18-34)</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 (35-54)</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 (35-54)</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 (35-54)</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 (35-54)</v>
      </c>
      <c r="N279" t="s">
        <v>15</v>
      </c>
    </row>
    <row r="280" spans="1:14" x14ac:dyDescent="0.25">
      <c r="A280">
        <v>20625</v>
      </c>
      <c r="B280" t="s">
        <v>36</v>
      </c>
      <c r="C280" t="s">
        <v>39</v>
      </c>
      <c r="D280" s="3">
        <v>100000</v>
      </c>
      <c r="E280">
        <v>0</v>
      </c>
      <c r="F280" t="s">
        <v>27</v>
      </c>
      <c r="G280" t="s">
        <v>28</v>
      </c>
      <c r="H280" t="s">
        <v>15</v>
      </c>
      <c r="I280">
        <v>3</v>
      </c>
      <c r="J280" t="s">
        <v>30</v>
      </c>
      <c r="K280" t="s">
        <v>24</v>
      </c>
      <c r="L280">
        <v>35</v>
      </c>
      <c r="M280" t="str">
        <f t="shared" si="4"/>
        <v>Middle Age (35-54)</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 (35-54)</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 (35-54)</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 (35-54)</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Young Adult (18-34)</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 (35-54)</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 (35-54)</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 (35-54)</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 (35-54)</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 (35-54)</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 (35-54)</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 (35-54)</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 (35-54)</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 (35-54)</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 (35-54)</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 (35-54)</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 (35-54)</v>
      </c>
      <c r="N296" t="s">
        <v>15</v>
      </c>
    </row>
    <row r="297" spans="1:14" x14ac:dyDescent="0.25">
      <c r="A297">
        <v>21557</v>
      </c>
      <c r="B297" t="s">
        <v>37</v>
      </c>
      <c r="C297" t="s">
        <v>38</v>
      </c>
      <c r="D297" s="3">
        <v>110000</v>
      </c>
      <c r="E297">
        <v>0</v>
      </c>
      <c r="F297" t="s">
        <v>19</v>
      </c>
      <c r="G297" t="s">
        <v>28</v>
      </c>
      <c r="H297" t="s">
        <v>15</v>
      </c>
      <c r="I297">
        <v>3</v>
      </c>
      <c r="J297" t="s">
        <v>30</v>
      </c>
      <c r="K297" t="s">
        <v>24</v>
      </c>
      <c r="L297">
        <v>32</v>
      </c>
      <c r="M297" t="str">
        <f t="shared" si="4"/>
        <v>Young Adult (18-34)</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 (35-54)</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 (35-54)</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 (35-54)</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Senior(55+)</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Senior(55+)</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Young Adult (18-34)</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Senior(55+)</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 (35-54)</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 (35-54)</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Senior(55+)</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 (35-54)</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Senior(55+)</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 (35-54)</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 (35-54)</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 (35-54)</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 (35-54)</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Senior(55+)</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 (35-54)</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 (35-54)</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 (35-54)</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Senior(55+)</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 (35-54)</v>
      </c>
      <c r="N319" t="s">
        <v>15</v>
      </c>
    </row>
    <row r="320" spans="1:14" x14ac:dyDescent="0.25">
      <c r="A320">
        <v>19066</v>
      </c>
      <c r="B320" t="s">
        <v>36</v>
      </c>
      <c r="C320" t="s">
        <v>39</v>
      </c>
      <c r="D320" s="3">
        <v>130000</v>
      </c>
      <c r="E320">
        <v>4</v>
      </c>
      <c r="F320" t="s">
        <v>19</v>
      </c>
      <c r="G320" t="s">
        <v>21</v>
      </c>
      <c r="H320" t="s">
        <v>18</v>
      </c>
      <c r="I320">
        <v>3</v>
      </c>
      <c r="J320" t="s">
        <v>30</v>
      </c>
      <c r="K320" t="s">
        <v>17</v>
      </c>
      <c r="L320">
        <v>54</v>
      </c>
      <c r="M320" t="str">
        <f t="shared" si="4"/>
        <v>Middle Age (35-54)</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 (35-54)</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ref="M322:M385" si="5">IF(L322&lt;18,"Adolescent(&lt;18)",IF(L322&lt;=34,"Young Adult (18-34)",IF(L322&lt;=54,"Middle Age (35-54)","Senior(55+)")))</f>
        <v>Middle Age (35-54)</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si="5"/>
        <v>Middle Age (35-54)</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 (35-54)</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 (35-54)</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 (35-54)</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 (35-54)</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Young Adult (18-34)</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 (35-54)</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 (35-54)</v>
      </c>
      <c r="N330" t="s">
        <v>18</v>
      </c>
    </row>
    <row r="331" spans="1:14" x14ac:dyDescent="0.25">
      <c r="A331">
        <v>12663</v>
      </c>
      <c r="B331" t="s">
        <v>36</v>
      </c>
      <c r="C331" t="s">
        <v>38</v>
      </c>
      <c r="D331" s="3">
        <v>90000</v>
      </c>
      <c r="E331">
        <v>5</v>
      </c>
      <c r="F331" t="s">
        <v>29</v>
      </c>
      <c r="G331" t="s">
        <v>14</v>
      </c>
      <c r="H331" t="s">
        <v>15</v>
      </c>
      <c r="I331">
        <v>2</v>
      </c>
      <c r="J331" t="s">
        <v>30</v>
      </c>
      <c r="K331" t="s">
        <v>17</v>
      </c>
      <c r="L331">
        <v>59</v>
      </c>
      <c r="M331" t="str">
        <f t="shared" si="5"/>
        <v>Senior(55+)</v>
      </c>
      <c r="N331" t="s">
        <v>18</v>
      </c>
    </row>
    <row r="332" spans="1:14" x14ac:dyDescent="0.25">
      <c r="A332">
        <v>24898</v>
      </c>
      <c r="B332" t="s">
        <v>37</v>
      </c>
      <c r="C332" t="s">
        <v>38</v>
      </c>
      <c r="D332" s="3">
        <v>80000</v>
      </c>
      <c r="E332">
        <v>0</v>
      </c>
      <c r="F332" t="s">
        <v>13</v>
      </c>
      <c r="G332" t="s">
        <v>21</v>
      </c>
      <c r="H332" t="s">
        <v>15</v>
      </c>
      <c r="I332">
        <v>3</v>
      </c>
      <c r="J332" t="s">
        <v>30</v>
      </c>
      <c r="K332" t="s">
        <v>24</v>
      </c>
      <c r="L332">
        <v>32</v>
      </c>
      <c r="M332" t="str">
        <f t="shared" si="5"/>
        <v>Young Adult (18-34)</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Young Adult (18-34)</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 (35-54)</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 (35-54)</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 (35-54)</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 (35-54)</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Young Adult (18-34)</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Young Adult (18-34)</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 (35-54)</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Senior(55+)</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Young Adult (18-34)</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Young Adult (18-34)</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 (35-54)</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Young Adult (18-34)</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Young Adult (18-34)</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 (35-54)</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 (35-54)</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 (35-54)</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 (35-54)</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Young Adult (18-34)</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Young Adult (18-34)</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 (35-54)</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 (35-54)</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 (35-54)</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 (35-54)</v>
      </c>
      <c r="N356" t="s">
        <v>18</v>
      </c>
    </row>
    <row r="357" spans="1:14" x14ac:dyDescent="0.25">
      <c r="A357">
        <v>17238</v>
      </c>
      <c r="B357" t="s">
        <v>37</v>
      </c>
      <c r="C357" t="s">
        <v>39</v>
      </c>
      <c r="D357" s="3">
        <v>80000</v>
      </c>
      <c r="E357">
        <v>0</v>
      </c>
      <c r="F357" t="s">
        <v>13</v>
      </c>
      <c r="G357" t="s">
        <v>21</v>
      </c>
      <c r="H357" t="s">
        <v>15</v>
      </c>
      <c r="I357">
        <v>3</v>
      </c>
      <c r="J357" t="s">
        <v>30</v>
      </c>
      <c r="K357" t="s">
        <v>24</v>
      </c>
      <c r="L357">
        <v>32</v>
      </c>
      <c r="M357" t="str">
        <f t="shared" si="5"/>
        <v>Young Adult (18-34)</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 (35-54)</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Young Adult (18-34)</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Senior(55+)</v>
      </c>
      <c r="N360" t="s">
        <v>15</v>
      </c>
    </row>
    <row r="361" spans="1:14" x14ac:dyDescent="0.25">
      <c r="A361">
        <v>17230</v>
      </c>
      <c r="B361" t="s">
        <v>36</v>
      </c>
      <c r="C361" t="s">
        <v>39</v>
      </c>
      <c r="D361" s="3">
        <v>80000</v>
      </c>
      <c r="E361">
        <v>0</v>
      </c>
      <c r="F361" t="s">
        <v>13</v>
      </c>
      <c r="G361" t="s">
        <v>21</v>
      </c>
      <c r="H361" t="s">
        <v>15</v>
      </c>
      <c r="I361">
        <v>3</v>
      </c>
      <c r="J361" t="s">
        <v>30</v>
      </c>
      <c r="K361" t="s">
        <v>24</v>
      </c>
      <c r="L361">
        <v>30</v>
      </c>
      <c r="M361" t="str">
        <f t="shared" si="5"/>
        <v>Young Adult (18-34)</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 (35-54)</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Young Adult (18-34)</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Young Adult (18-34)</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Senior(55+)</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 (35-54)</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 (35-54)</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 (35-54)</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 (35-54)</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Senior(55+)</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 (35-54)</v>
      </c>
      <c r="N371" t="s">
        <v>15</v>
      </c>
    </row>
    <row r="372" spans="1:14" x14ac:dyDescent="0.25">
      <c r="A372">
        <v>17324</v>
      </c>
      <c r="B372" t="s">
        <v>36</v>
      </c>
      <c r="C372" t="s">
        <v>38</v>
      </c>
      <c r="D372" s="3">
        <v>100000</v>
      </c>
      <c r="E372">
        <v>4</v>
      </c>
      <c r="F372" t="s">
        <v>13</v>
      </c>
      <c r="G372" t="s">
        <v>21</v>
      </c>
      <c r="H372" t="s">
        <v>15</v>
      </c>
      <c r="I372">
        <v>1</v>
      </c>
      <c r="J372" t="s">
        <v>30</v>
      </c>
      <c r="K372" t="s">
        <v>24</v>
      </c>
      <c r="L372">
        <v>46</v>
      </c>
      <c r="M372" t="str">
        <f t="shared" si="5"/>
        <v>Middle Age (35-54)</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 (35-54)</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 (35-54)</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Young Adult (18-34)</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 (35-54)</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Senior(55+)</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Senior(55+)</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 (35-54)</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Senior(55+)</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 (35-54)</v>
      </c>
      <c r="N381" t="s">
        <v>18</v>
      </c>
    </row>
    <row r="382" spans="1:14" x14ac:dyDescent="0.25">
      <c r="A382">
        <v>13620</v>
      </c>
      <c r="B382" t="s">
        <v>37</v>
      </c>
      <c r="C382" t="s">
        <v>39</v>
      </c>
      <c r="D382" s="3">
        <v>70000</v>
      </c>
      <c r="E382">
        <v>0</v>
      </c>
      <c r="F382" t="s">
        <v>13</v>
      </c>
      <c r="G382" t="s">
        <v>21</v>
      </c>
      <c r="H382" t="s">
        <v>18</v>
      </c>
      <c r="I382">
        <v>3</v>
      </c>
      <c r="J382" t="s">
        <v>30</v>
      </c>
      <c r="K382" t="s">
        <v>24</v>
      </c>
      <c r="L382">
        <v>30</v>
      </c>
      <c r="M382" t="str">
        <f t="shared" si="5"/>
        <v>Young Adult (18-34)</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Senior(55+)</v>
      </c>
      <c r="N383" t="s">
        <v>18</v>
      </c>
    </row>
    <row r="384" spans="1:14" x14ac:dyDescent="0.25">
      <c r="A384">
        <v>13586</v>
      </c>
      <c r="B384" t="s">
        <v>36</v>
      </c>
      <c r="C384" t="s">
        <v>39</v>
      </c>
      <c r="D384" s="3">
        <v>80000</v>
      </c>
      <c r="E384">
        <v>4</v>
      </c>
      <c r="F384" t="s">
        <v>19</v>
      </c>
      <c r="G384" t="s">
        <v>21</v>
      </c>
      <c r="H384" t="s">
        <v>15</v>
      </c>
      <c r="I384">
        <v>2</v>
      </c>
      <c r="J384" t="s">
        <v>30</v>
      </c>
      <c r="K384" t="s">
        <v>17</v>
      </c>
      <c r="L384">
        <v>53</v>
      </c>
      <c r="M384" t="str">
        <f t="shared" si="5"/>
        <v>Middle Age (35-54)</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 (35-54)</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ref="M386:M449" si="6">IF(L386&lt;18,"Adolescent(&lt;18)",IF(L386&lt;=34,"Young Adult (18-34)",IF(L386&lt;=54,"Middle Age (35-54)","Senior(55+)")))</f>
        <v>Young Adult (18-34)</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si="6"/>
        <v>Middle Age (35-54)</v>
      </c>
      <c r="N387" t="s">
        <v>18</v>
      </c>
    </row>
    <row r="388" spans="1:14" x14ac:dyDescent="0.25">
      <c r="A388">
        <v>28957</v>
      </c>
      <c r="B388" t="s">
        <v>37</v>
      </c>
      <c r="C388" t="s">
        <v>38</v>
      </c>
      <c r="D388" s="3">
        <v>120000</v>
      </c>
      <c r="E388">
        <v>0</v>
      </c>
      <c r="F388" t="s">
        <v>29</v>
      </c>
      <c r="G388" t="s">
        <v>21</v>
      </c>
      <c r="H388" t="s">
        <v>15</v>
      </c>
      <c r="I388">
        <v>4</v>
      </c>
      <c r="J388" t="s">
        <v>30</v>
      </c>
      <c r="K388" t="s">
        <v>24</v>
      </c>
      <c r="L388">
        <v>34</v>
      </c>
      <c r="M388" t="str">
        <f t="shared" si="6"/>
        <v>Young Adult (18-34)</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Young Adult (18-34)</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Senior(55+)</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 (35-54)</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 (35-54)</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 (35-54)</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 (35-54)</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Young Adult (18-34)</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 (35-54)</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 (35-54)</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 (35-54)</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Senior(55+)</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 (35-54)</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 (35-54)</v>
      </c>
      <c r="N401" t="s">
        <v>15</v>
      </c>
    </row>
    <row r="402" spans="1:14" x14ac:dyDescent="0.25">
      <c r="A402">
        <v>25792</v>
      </c>
      <c r="B402" t="s">
        <v>37</v>
      </c>
      <c r="C402" t="s">
        <v>38</v>
      </c>
      <c r="D402" s="3">
        <v>110000</v>
      </c>
      <c r="E402">
        <v>3</v>
      </c>
      <c r="F402" t="s">
        <v>13</v>
      </c>
      <c r="G402" t="s">
        <v>28</v>
      </c>
      <c r="H402" t="s">
        <v>15</v>
      </c>
      <c r="I402">
        <v>4</v>
      </c>
      <c r="J402" t="s">
        <v>30</v>
      </c>
      <c r="K402" t="s">
        <v>17</v>
      </c>
      <c r="L402">
        <v>53</v>
      </c>
      <c r="M402" t="str">
        <f t="shared" si="6"/>
        <v>Middle Age (35-54)</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Senior(55+)</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 (35-54)</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 (35-54)</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 (35-54)</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 (35-54)</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 (35-54)</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 (35-54)</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Young Adult (18-34)</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 (35-54)</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 (35-54)</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 (35-54)</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Young Adult (18-34)</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Senior(55+)</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 (35-54)</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 (35-54)</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 (35-54)</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Senior(55+)</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 (35-54)</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 (35-54)</v>
      </c>
      <c r="N421" t="s">
        <v>15</v>
      </c>
    </row>
    <row r="422" spans="1:14" x14ac:dyDescent="0.25">
      <c r="A422">
        <v>18153</v>
      </c>
      <c r="B422" t="s">
        <v>36</v>
      </c>
      <c r="C422" t="s">
        <v>38</v>
      </c>
      <c r="D422" s="3">
        <v>100000</v>
      </c>
      <c r="E422">
        <v>2</v>
      </c>
      <c r="F422" t="s">
        <v>13</v>
      </c>
      <c r="G422" t="s">
        <v>28</v>
      </c>
      <c r="H422" t="s">
        <v>15</v>
      </c>
      <c r="I422">
        <v>4</v>
      </c>
      <c r="J422" t="s">
        <v>30</v>
      </c>
      <c r="K422" t="s">
        <v>17</v>
      </c>
      <c r="L422">
        <v>59</v>
      </c>
      <c r="M422" t="str">
        <f t="shared" si="6"/>
        <v>Senior(55+)</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 (35-54)</v>
      </c>
      <c r="N423" t="s">
        <v>18</v>
      </c>
    </row>
    <row r="424" spans="1:14" x14ac:dyDescent="0.25">
      <c r="A424">
        <v>24901</v>
      </c>
      <c r="B424" t="s">
        <v>37</v>
      </c>
      <c r="C424" t="s">
        <v>39</v>
      </c>
      <c r="D424" s="3">
        <v>110000</v>
      </c>
      <c r="E424">
        <v>0</v>
      </c>
      <c r="F424" t="s">
        <v>19</v>
      </c>
      <c r="G424" t="s">
        <v>28</v>
      </c>
      <c r="H424" t="s">
        <v>18</v>
      </c>
      <c r="I424">
        <v>3</v>
      </c>
      <c r="J424" t="s">
        <v>30</v>
      </c>
      <c r="K424" t="s">
        <v>24</v>
      </c>
      <c r="L424">
        <v>32</v>
      </c>
      <c r="M424" t="str">
        <f t="shared" si="6"/>
        <v>Young Adult (18-34)</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Young Adult (18-34)</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 (35-54)</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Senior(55+)</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Young Adult (18-34)</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 (35-54)</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 (35-54)</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Young Adult (18-34)</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Senior(55+)</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Young Adult (18-34)</v>
      </c>
      <c r="N433" t="s">
        <v>15</v>
      </c>
    </row>
    <row r="434" spans="1:14" x14ac:dyDescent="0.25">
      <c r="A434">
        <v>21891</v>
      </c>
      <c r="B434" t="s">
        <v>36</v>
      </c>
      <c r="C434" t="s">
        <v>38</v>
      </c>
      <c r="D434" s="3">
        <v>110000</v>
      </c>
      <c r="E434">
        <v>0</v>
      </c>
      <c r="F434" t="s">
        <v>27</v>
      </c>
      <c r="G434" t="s">
        <v>28</v>
      </c>
      <c r="H434" t="s">
        <v>15</v>
      </c>
      <c r="I434">
        <v>3</v>
      </c>
      <c r="J434" t="s">
        <v>30</v>
      </c>
      <c r="K434" t="s">
        <v>24</v>
      </c>
      <c r="L434">
        <v>34</v>
      </c>
      <c r="M434" t="str">
        <f t="shared" si="6"/>
        <v>Young Adult (18-34)</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Young Adult (18-34)</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 (35-54)</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Senior(55+)</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 (35-54)</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Young Adult (18-34)</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 (35-54)</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 (35-54)</v>
      </c>
      <c r="N441" t="s">
        <v>18</v>
      </c>
    </row>
    <row r="442" spans="1:14" x14ac:dyDescent="0.25">
      <c r="A442">
        <v>21561</v>
      </c>
      <c r="B442" t="s">
        <v>37</v>
      </c>
      <c r="C442" t="s">
        <v>39</v>
      </c>
      <c r="D442" s="3">
        <v>90000</v>
      </c>
      <c r="E442">
        <v>0</v>
      </c>
      <c r="F442" t="s">
        <v>13</v>
      </c>
      <c r="G442" t="s">
        <v>21</v>
      </c>
      <c r="H442" t="s">
        <v>18</v>
      </c>
      <c r="I442">
        <v>3</v>
      </c>
      <c r="J442" t="s">
        <v>30</v>
      </c>
      <c r="K442" t="s">
        <v>24</v>
      </c>
      <c r="L442">
        <v>34</v>
      </c>
      <c r="M442" t="str">
        <f t="shared" si="6"/>
        <v>Young Adult (18-34)</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 (35-54)</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 (35-54)</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 (35-54)</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Young Adult (18-34)</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Young Adult (18-34)</v>
      </c>
      <c r="N447" t="s">
        <v>15</v>
      </c>
    </row>
    <row r="448" spans="1:14" x14ac:dyDescent="0.25">
      <c r="A448">
        <v>14278</v>
      </c>
      <c r="B448" t="s">
        <v>36</v>
      </c>
      <c r="C448" t="s">
        <v>38</v>
      </c>
      <c r="D448" s="3">
        <v>130000</v>
      </c>
      <c r="E448">
        <v>0</v>
      </c>
      <c r="F448" t="s">
        <v>31</v>
      </c>
      <c r="G448" t="s">
        <v>28</v>
      </c>
      <c r="H448" t="s">
        <v>15</v>
      </c>
      <c r="I448">
        <v>1</v>
      </c>
      <c r="J448" t="s">
        <v>30</v>
      </c>
      <c r="K448" t="s">
        <v>24</v>
      </c>
      <c r="L448">
        <v>48</v>
      </c>
      <c r="M448" t="str">
        <f t="shared" si="6"/>
        <v>Middle Age (35-54)</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Young Adult (18-34)</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ref="M450:M513" si="7">IF(L450&lt;18,"Adolescent(&lt;18)",IF(L450&lt;=34,"Young Adult (18-34)",IF(L450&lt;=54,"Middle Age (35-54)","Senior(55+)")))</f>
        <v>Middle Age (35-54)</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si="7"/>
        <v>Middle Age (35-54)</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 (35-54)</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 (35-54)</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Senior(55+)</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 (35-54)</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Young Adult (18-34)</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 (35-54)</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 (35-54)</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Senior(55+)</v>
      </c>
      <c r="N459" t="s">
        <v>18</v>
      </c>
    </row>
    <row r="460" spans="1:14" x14ac:dyDescent="0.25">
      <c r="A460">
        <v>21560</v>
      </c>
      <c r="B460" t="s">
        <v>36</v>
      </c>
      <c r="C460" t="s">
        <v>39</v>
      </c>
      <c r="D460" s="3">
        <v>120000</v>
      </c>
      <c r="E460">
        <v>0</v>
      </c>
      <c r="F460" t="s">
        <v>29</v>
      </c>
      <c r="G460" t="s">
        <v>21</v>
      </c>
      <c r="H460" t="s">
        <v>15</v>
      </c>
      <c r="I460">
        <v>4</v>
      </c>
      <c r="J460" t="s">
        <v>30</v>
      </c>
      <c r="K460" t="s">
        <v>24</v>
      </c>
      <c r="L460">
        <v>32</v>
      </c>
      <c r="M460" t="str">
        <f t="shared" si="7"/>
        <v>Young Adult (18-34)</v>
      </c>
      <c r="N460" t="s">
        <v>15</v>
      </c>
    </row>
    <row r="461" spans="1:14" x14ac:dyDescent="0.25">
      <c r="A461">
        <v>21554</v>
      </c>
      <c r="B461" t="s">
        <v>37</v>
      </c>
      <c r="C461" t="s">
        <v>38</v>
      </c>
      <c r="D461" s="3">
        <v>80000</v>
      </c>
      <c r="E461">
        <v>0</v>
      </c>
      <c r="F461" t="s">
        <v>13</v>
      </c>
      <c r="G461" t="s">
        <v>21</v>
      </c>
      <c r="H461" t="s">
        <v>18</v>
      </c>
      <c r="I461">
        <v>3</v>
      </c>
      <c r="J461" t="s">
        <v>30</v>
      </c>
      <c r="K461" t="s">
        <v>24</v>
      </c>
      <c r="L461">
        <v>33</v>
      </c>
      <c r="M461" t="str">
        <f t="shared" si="7"/>
        <v>Young Adult (18-34)</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Young Adult (18-34)</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 (35-54)</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 (35-54)</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 (35-54)</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 (35-54)</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Senior(55+)</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 (35-54)</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 (35-54)</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 (35-54)</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Senior(55+)</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Young Adult (18-34)</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 (35-54)</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 (35-54)</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 (35-54)</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 (35-54)</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Senior(55+)</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 (35-54)</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 (35-54)</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 (35-54)</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Young Adult (18-34)</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 (35-54)</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Young Adult (18-34)</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 (35-54)</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Senior(55+)</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Young Adult (18-34)</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 (35-54)</v>
      </c>
      <c r="N487" t="s">
        <v>18</v>
      </c>
    </row>
    <row r="488" spans="1:14" x14ac:dyDescent="0.25">
      <c r="A488">
        <v>26415</v>
      </c>
      <c r="B488" t="s">
        <v>36</v>
      </c>
      <c r="C488" t="s">
        <v>38</v>
      </c>
      <c r="D488" s="3">
        <v>90000</v>
      </c>
      <c r="E488">
        <v>4</v>
      </c>
      <c r="F488" t="s">
        <v>29</v>
      </c>
      <c r="G488" t="s">
        <v>14</v>
      </c>
      <c r="H488" t="s">
        <v>15</v>
      </c>
      <c r="I488">
        <v>4</v>
      </c>
      <c r="J488" t="s">
        <v>30</v>
      </c>
      <c r="K488" t="s">
        <v>17</v>
      </c>
      <c r="L488">
        <v>58</v>
      </c>
      <c r="M488" t="str">
        <f t="shared" si="7"/>
        <v>Senior(55+)</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 (35-54)</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Young Adult (18-34)</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Young Adult (18-34)</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 (35-54)</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 (35-54)</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Young Adult (18-34)</v>
      </c>
      <c r="N494" t="s">
        <v>15</v>
      </c>
    </row>
    <row r="495" spans="1:14" x14ac:dyDescent="0.25">
      <c r="A495">
        <v>23707</v>
      </c>
      <c r="B495" t="s">
        <v>37</v>
      </c>
      <c r="C495" t="s">
        <v>39</v>
      </c>
      <c r="D495" s="3">
        <v>70000</v>
      </c>
      <c r="E495">
        <v>5</v>
      </c>
      <c r="F495" t="s">
        <v>13</v>
      </c>
      <c r="G495" t="s">
        <v>28</v>
      </c>
      <c r="H495" t="s">
        <v>15</v>
      </c>
      <c r="I495">
        <v>3</v>
      </c>
      <c r="J495" t="s">
        <v>30</v>
      </c>
      <c r="K495" t="s">
        <v>32</v>
      </c>
      <c r="L495">
        <v>60</v>
      </c>
      <c r="M495" t="str">
        <f t="shared" si="7"/>
        <v>Senior(55+)</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 (35-54)</v>
      </c>
      <c r="N496" t="s">
        <v>18</v>
      </c>
    </row>
    <row r="497" spans="1:14" x14ac:dyDescent="0.25">
      <c r="A497">
        <v>24981</v>
      </c>
      <c r="B497" t="s">
        <v>36</v>
      </c>
      <c r="C497" t="s">
        <v>39</v>
      </c>
      <c r="D497" s="3">
        <v>60000</v>
      </c>
      <c r="E497">
        <v>2</v>
      </c>
      <c r="F497" t="s">
        <v>19</v>
      </c>
      <c r="G497" t="s">
        <v>21</v>
      </c>
      <c r="H497" t="s">
        <v>15</v>
      </c>
      <c r="I497">
        <v>2</v>
      </c>
      <c r="J497" t="s">
        <v>30</v>
      </c>
      <c r="K497" t="s">
        <v>32</v>
      </c>
      <c r="L497">
        <v>56</v>
      </c>
      <c r="M497" t="str">
        <f t="shared" si="7"/>
        <v>Senior(55+)</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 (35-54)</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Young Adult (18-34)</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 (35-54)</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Young Adult (18-34)</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 (35-54)</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Young Adult (18-34)</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Young Adult (18-34)</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 (35-54)</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 (35-54)</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 (35-54)</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 (35-54)</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 (35-54)</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Young Adult (18-34)</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 (35-54)</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 (35-54)</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Senior(55+)</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ref="M514:M577" si="8">IF(L514&lt;18,"Adolescent(&lt;18)",IF(L514&lt;=34,"Young Adult (18-34)",IF(L514&lt;=54,"Middle Age (35-54)","Senior(55+)")))</f>
        <v>Middle Age (35-54)</v>
      </c>
      <c r="N514" t="s">
        <v>15</v>
      </c>
    </row>
    <row r="515" spans="1:14" x14ac:dyDescent="0.25">
      <c r="A515">
        <v>13353</v>
      </c>
      <c r="B515" t="s">
        <v>37</v>
      </c>
      <c r="C515" t="s">
        <v>38</v>
      </c>
      <c r="D515" s="3">
        <v>60000</v>
      </c>
      <c r="E515">
        <v>4</v>
      </c>
      <c r="F515" t="s">
        <v>31</v>
      </c>
      <c r="G515" t="s">
        <v>28</v>
      </c>
      <c r="H515" t="s">
        <v>15</v>
      </c>
      <c r="I515">
        <v>2</v>
      </c>
      <c r="J515" t="s">
        <v>30</v>
      </c>
      <c r="K515" t="s">
        <v>32</v>
      </c>
      <c r="L515">
        <v>61</v>
      </c>
      <c r="M515" t="str">
        <f t="shared" si="8"/>
        <v>Senior(55+)</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 (35-54)</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 (35-54)</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 (35-54)</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 (35-54)</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Young Adult (18-34)</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Senior(55+)</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 (35-54)</v>
      </c>
      <c r="N522" t="s">
        <v>18</v>
      </c>
    </row>
    <row r="523" spans="1:14" x14ac:dyDescent="0.25">
      <c r="A523">
        <v>18976</v>
      </c>
      <c r="B523" t="s">
        <v>37</v>
      </c>
      <c r="C523" t="s">
        <v>39</v>
      </c>
      <c r="D523" s="3">
        <v>40000</v>
      </c>
      <c r="E523">
        <v>4</v>
      </c>
      <c r="F523" t="s">
        <v>27</v>
      </c>
      <c r="G523" t="s">
        <v>21</v>
      </c>
      <c r="H523" t="s">
        <v>15</v>
      </c>
      <c r="I523">
        <v>2</v>
      </c>
      <c r="J523" t="s">
        <v>30</v>
      </c>
      <c r="K523" t="s">
        <v>32</v>
      </c>
      <c r="L523">
        <v>62</v>
      </c>
      <c r="M523" t="str">
        <f t="shared" si="8"/>
        <v>Senior(55+)</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 (35-54)</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 (35-54)</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Senior(55+)</v>
      </c>
      <c r="N526" t="s">
        <v>18</v>
      </c>
    </row>
    <row r="527" spans="1:14" x14ac:dyDescent="0.25">
      <c r="A527">
        <v>16791</v>
      </c>
      <c r="B527" t="s">
        <v>37</v>
      </c>
      <c r="C527" t="s">
        <v>39</v>
      </c>
      <c r="D527" s="3">
        <v>60000</v>
      </c>
      <c r="E527">
        <v>5</v>
      </c>
      <c r="F527" t="s">
        <v>13</v>
      </c>
      <c r="G527" t="s">
        <v>28</v>
      </c>
      <c r="H527" t="s">
        <v>15</v>
      </c>
      <c r="I527">
        <v>3</v>
      </c>
      <c r="J527" t="s">
        <v>30</v>
      </c>
      <c r="K527" t="s">
        <v>32</v>
      </c>
      <c r="L527">
        <v>59</v>
      </c>
      <c r="M527" t="str">
        <f t="shared" si="8"/>
        <v>Senior(55+)</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 (35-54)</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 (35-54)</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Young Adult (18-34)</v>
      </c>
      <c r="N530" t="s">
        <v>18</v>
      </c>
    </row>
    <row r="531" spans="1:14" x14ac:dyDescent="0.25">
      <c r="A531">
        <v>13233</v>
      </c>
      <c r="B531" t="s">
        <v>36</v>
      </c>
      <c r="C531" t="s">
        <v>39</v>
      </c>
      <c r="D531" s="3">
        <v>60000</v>
      </c>
      <c r="E531">
        <v>2</v>
      </c>
      <c r="F531" t="s">
        <v>19</v>
      </c>
      <c r="G531" t="s">
        <v>21</v>
      </c>
      <c r="H531" t="s">
        <v>15</v>
      </c>
      <c r="I531">
        <v>1</v>
      </c>
      <c r="J531" t="s">
        <v>30</v>
      </c>
      <c r="K531" t="s">
        <v>32</v>
      </c>
      <c r="L531">
        <v>57</v>
      </c>
      <c r="M531" t="str">
        <f t="shared" si="8"/>
        <v>Senior(55+)</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Young Adult (18-34)</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Young Adult (18-34)</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 (35-54)</v>
      </c>
      <c r="N534" t="s">
        <v>15</v>
      </c>
    </row>
    <row r="535" spans="1:14" x14ac:dyDescent="0.25">
      <c r="A535">
        <v>24941</v>
      </c>
      <c r="B535" t="s">
        <v>36</v>
      </c>
      <c r="C535" t="s">
        <v>39</v>
      </c>
      <c r="D535" s="3">
        <v>60000</v>
      </c>
      <c r="E535">
        <v>3</v>
      </c>
      <c r="F535" t="s">
        <v>13</v>
      </c>
      <c r="G535" t="s">
        <v>28</v>
      </c>
      <c r="H535" t="s">
        <v>15</v>
      </c>
      <c r="I535">
        <v>2</v>
      </c>
      <c r="J535" t="s">
        <v>30</v>
      </c>
      <c r="K535" t="s">
        <v>32</v>
      </c>
      <c r="L535">
        <v>66</v>
      </c>
      <c r="M535" t="str">
        <f t="shared" si="8"/>
        <v>Senior(55+)</v>
      </c>
      <c r="N535" t="s">
        <v>18</v>
      </c>
    </row>
    <row r="536" spans="1:14" x14ac:dyDescent="0.25">
      <c r="A536">
        <v>24637</v>
      </c>
      <c r="B536" t="s">
        <v>36</v>
      </c>
      <c r="C536" t="s">
        <v>39</v>
      </c>
      <c r="D536" s="3">
        <v>40000</v>
      </c>
      <c r="E536">
        <v>4</v>
      </c>
      <c r="F536" t="s">
        <v>27</v>
      </c>
      <c r="G536" t="s">
        <v>21</v>
      </c>
      <c r="H536" t="s">
        <v>15</v>
      </c>
      <c r="I536">
        <v>2</v>
      </c>
      <c r="J536" t="s">
        <v>30</v>
      </c>
      <c r="K536" t="s">
        <v>32</v>
      </c>
      <c r="L536">
        <v>64</v>
      </c>
      <c r="M536" t="str">
        <f t="shared" si="8"/>
        <v>Senior(55+)</v>
      </c>
      <c r="N536" t="s">
        <v>18</v>
      </c>
    </row>
    <row r="537" spans="1:14" x14ac:dyDescent="0.25">
      <c r="A537">
        <v>23893</v>
      </c>
      <c r="B537" t="s">
        <v>36</v>
      </c>
      <c r="C537" t="s">
        <v>39</v>
      </c>
      <c r="D537" s="3">
        <v>50000</v>
      </c>
      <c r="E537">
        <v>3</v>
      </c>
      <c r="F537" t="s">
        <v>13</v>
      </c>
      <c r="G537" t="s">
        <v>14</v>
      </c>
      <c r="H537" t="s">
        <v>15</v>
      </c>
      <c r="I537">
        <v>3</v>
      </c>
      <c r="J537" t="s">
        <v>30</v>
      </c>
      <c r="K537" t="s">
        <v>32</v>
      </c>
      <c r="L537">
        <v>41</v>
      </c>
      <c r="M537" t="str">
        <f t="shared" si="8"/>
        <v>Middle Age (35-54)</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 (35-54)</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 (35-54)</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 (35-54)</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 (35-54)</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 (35-54)</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Young Adult (18-34)</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Young Adult (18-34)</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 (35-54)</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 (35-54)</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Young Adult (18-34)</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 (35-54)</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Senior(55+)</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 (35-54)</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 (35-54)</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 (35-54)</v>
      </c>
      <c r="N552" t="s">
        <v>15</v>
      </c>
    </row>
    <row r="553" spans="1:14" x14ac:dyDescent="0.25">
      <c r="A553">
        <v>27393</v>
      </c>
      <c r="B553" t="s">
        <v>36</v>
      </c>
      <c r="C553" t="s">
        <v>38</v>
      </c>
      <c r="D553" s="3">
        <v>50000</v>
      </c>
      <c r="E553">
        <v>4</v>
      </c>
      <c r="F553" t="s">
        <v>13</v>
      </c>
      <c r="G553" t="s">
        <v>28</v>
      </c>
      <c r="H553" t="s">
        <v>15</v>
      </c>
      <c r="I553">
        <v>2</v>
      </c>
      <c r="J553" t="s">
        <v>30</v>
      </c>
      <c r="K553" t="s">
        <v>32</v>
      </c>
      <c r="L553">
        <v>63</v>
      </c>
      <c r="M553" t="str">
        <f t="shared" si="8"/>
        <v>Senior(55+)</v>
      </c>
      <c r="N553" t="s">
        <v>18</v>
      </c>
    </row>
    <row r="554" spans="1:14" x14ac:dyDescent="0.25">
      <c r="A554">
        <v>14417</v>
      </c>
      <c r="B554" t="s">
        <v>37</v>
      </c>
      <c r="C554" t="s">
        <v>39</v>
      </c>
      <c r="D554" s="3">
        <v>60000</v>
      </c>
      <c r="E554">
        <v>3</v>
      </c>
      <c r="F554" t="s">
        <v>27</v>
      </c>
      <c r="G554" t="s">
        <v>21</v>
      </c>
      <c r="H554" t="s">
        <v>15</v>
      </c>
      <c r="I554">
        <v>2</v>
      </c>
      <c r="J554" t="s">
        <v>30</v>
      </c>
      <c r="K554" t="s">
        <v>32</v>
      </c>
      <c r="L554">
        <v>54</v>
      </c>
      <c r="M554" t="str">
        <f t="shared" si="8"/>
        <v>Middle Age (35-54)</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Senior(55+)</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 (35-54)</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 (35-54)</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 (35-54)</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Young Adult (18-34)</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 (35-54)</v>
      </c>
      <c r="N560" t="s">
        <v>18</v>
      </c>
    </row>
    <row r="561" spans="1:14" x14ac:dyDescent="0.25">
      <c r="A561">
        <v>15895</v>
      </c>
      <c r="B561" t="s">
        <v>37</v>
      </c>
      <c r="C561" t="s">
        <v>38</v>
      </c>
      <c r="D561" s="3">
        <v>60000</v>
      </c>
      <c r="E561">
        <v>2</v>
      </c>
      <c r="F561" t="s">
        <v>13</v>
      </c>
      <c r="G561" t="s">
        <v>28</v>
      </c>
      <c r="H561" t="s">
        <v>15</v>
      </c>
      <c r="I561">
        <v>0</v>
      </c>
      <c r="J561" t="s">
        <v>30</v>
      </c>
      <c r="K561" t="s">
        <v>32</v>
      </c>
      <c r="L561">
        <v>58</v>
      </c>
      <c r="M561" t="str">
        <f t="shared" si="8"/>
        <v>Senior(55+)</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 (35-54)</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 (35-54)</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Young Adult (18-34)</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Young Adult (18-34)</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Young Adult (18-34)</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 (35-54)</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Senior(55+)</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 (35-54)</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 (35-54)</v>
      </c>
      <c r="N570" t="s">
        <v>15</v>
      </c>
    </row>
    <row r="571" spans="1:14" x14ac:dyDescent="0.25">
      <c r="A571">
        <v>26452</v>
      </c>
      <c r="B571" t="s">
        <v>37</v>
      </c>
      <c r="C571" t="s">
        <v>39</v>
      </c>
      <c r="D571" s="3">
        <v>50000</v>
      </c>
      <c r="E571">
        <v>3</v>
      </c>
      <c r="F571" t="s">
        <v>31</v>
      </c>
      <c r="G571" t="s">
        <v>28</v>
      </c>
      <c r="H571" t="s">
        <v>15</v>
      </c>
      <c r="I571">
        <v>2</v>
      </c>
      <c r="J571" t="s">
        <v>30</v>
      </c>
      <c r="K571" t="s">
        <v>32</v>
      </c>
      <c r="L571">
        <v>69</v>
      </c>
      <c r="M571" t="str">
        <f t="shared" si="8"/>
        <v>Senior(55+)</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 (35-54)</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Senior(55+)</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Young Adult (18-34)</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Senior(55+)</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Young Adult (18-34)</v>
      </c>
      <c r="N576" t="s">
        <v>15</v>
      </c>
    </row>
    <row r="577" spans="1:14" x14ac:dyDescent="0.25">
      <c r="A577">
        <v>13388</v>
      </c>
      <c r="B577" t="s">
        <v>37</v>
      </c>
      <c r="C577" t="s">
        <v>39</v>
      </c>
      <c r="D577" s="3">
        <v>60000</v>
      </c>
      <c r="E577">
        <v>2</v>
      </c>
      <c r="F577" t="s">
        <v>19</v>
      </c>
      <c r="G577" t="s">
        <v>21</v>
      </c>
      <c r="H577" t="s">
        <v>15</v>
      </c>
      <c r="I577">
        <v>1</v>
      </c>
      <c r="J577" t="s">
        <v>30</v>
      </c>
      <c r="K577" t="s">
        <v>32</v>
      </c>
      <c r="L577">
        <v>56</v>
      </c>
      <c r="M577" t="str">
        <f t="shared" si="8"/>
        <v>Senior(55+)</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ref="M578:M641" si="9">IF(L578&lt;18,"Adolescent(&lt;18)",IF(L578&lt;=34,"Young Adult (18-34)",IF(L578&lt;=54,"Middle Age (35-54)","Senior(55+)")))</f>
        <v>Young Adult (18-34)</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si="9"/>
        <v>Middle Age (35-54)</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Senior(55+)</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Young Adult (18-34)</v>
      </c>
      <c r="N581" t="s">
        <v>18</v>
      </c>
    </row>
    <row r="582" spans="1:14" x14ac:dyDescent="0.25">
      <c r="A582">
        <v>20380</v>
      </c>
      <c r="B582" t="s">
        <v>36</v>
      </c>
      <c r="C582" t="s">
        <v>38</v>
      </c>
      <c r="D582" s="3">
        <v>60000</v>
      </c>
      <c r="E582">
        <v>3</v>
      </c>
      <c r="F582" t="s">
        <v>31</v>
      </c>
      <c r="G582" t="s">
        <v>28</v>
      </c>
      <c r="H582" t="s">
        <v>15</v>
      </c>
      <c r="I582">
        <v>2</v>
      </c>
      <c r="J582" t="s">
        <v>30</v>
      </c>
      <c r="K582" t="s">
        <v>32</v>
      </c>
      <c r="L582">
        <v>69</v>
      </c>
      <c r="M582" t="str">
        <f t="shared" si="9"/>
        <v>Senior(55+)</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Young Adult (18-34)</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 (35-54)</v>
      </c>
      <c r="N584" t="s">
        <v>18</v>
      </c>
    </row>
    <row r="585" spans="1:14" x14ac:dyDescent="0.25">
      <c r="A585">
        <v>24943</v>
      </c>
      <c r="B585" t="s">
        <v>36</v>
      </c>
      <c r="C585" t="s">
        <v>39</v>
      </c>
      <c r="D585" s="3">
        <v>60000</v>
      </c>
      <c r="E585">
        <v>3</v>
      </c>
      <c r="F585" t="s">
        <v>13</v>
      </c>
      <c r="G585" t="s">
        <v>28</v>
      </c>
      <c r="H585" t="s">
        <v>15</v>
      </c>
      <c r="I585">
        <v>2</v>
      </c>
      <c r="J585" t="s">
        <v>30</v>
      </c>
      <c r="K585" t="s">
        <v>32</v>
      </c>
      <c r="L585">
        <v>66</v>
      </c>
      <c r="M585" t="str">
        <f t="shared" si="9"/>
        <v>Senior(55+)</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 (35-54)</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 (35-54)</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 (35-54)</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 (35-54)</v>
      </c>
      <c r="N589" t="s">
        <v>18</v>
      </c>
    </row>
    <row r="590" spans="1:14" x14ac:dyDescent="0.25">
      <c r="A590">
        <v>16871</v>
      </c>
      <c r="B590" t="s">
        <v>36</v>
      </c>
      <c r="C590" t="s">
        <v>38</v>
      </c>
      <c r="D590" s="3">
        <v>90000</v>
      </c>
      <c r="E590">
        <v>2</v>
      </c>
      <c r="F590" t="s">
        <v>27</v>
      </c>
      <c r="G590" t="s">
        <v>21</v>
      </c>
      <c r="H590" t="s">
        <v>15</v>
      </c>
      <c r="I590">
        <v>1</v>
      </c>
      <c r="J590" t="s">
        <v>30</v>
      </c>
      <c r="K590" t="s">
        <v>32</v>
      </c>
      <c r="L590">
        <v>51</v>
      </c>
      <c r="M590" t="str">
        <f t="shared" si="9"/>
        <v>Middle Age (35-54)</v>
      </c>
      <c r="N590" t="s">
        <v>15</v>
      </c>
    </row>
    <row r="591" spans="1:14" x14ac:dyDescent="0.25">
      <c r="A591">
        <v>12100</v>
      </c>
      <c r="B591" t="s">
        <v>37</v>
      </c>
      <c r="C591" t="s">
        <v>39</v>
      </c>
      <c r="D591" s="3">
        <v>60000</v>
      </c>
      <c r="E591">
        <v>2</v>
      </c>
      <c r="F591" t="s">
        <v>13</v>
      </c>
      <c r="G591" t="s">
        <v>28</v>
      </c>
      <c r="H591" t="s">
        <v>15</v>
      </c>
      <c r="I591">
        <v>0</v>
      </c>
      <c r="J591" t="s">
        <v>30</v>
      </c>
      <c r="K591" t="s">
        <v>32</v>
      </c>
      <c r="L591">
        <v>57</v>
      </c>
      <c r="M591" t="str">
        <f t="shared" si="9"/>
        <v>Senior(55+)</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 (35-54)</v>
      </c>
      <c r="N592" t="s">
        <v>15</v>
      </c>
    </row>
    <row r="593" spans="1:14" x14ac:dyDescent="0.25">
      <c r="A593">
        <v>18545</v>
      </c>
      <c r="B593" t="s">
        <v>36</v>
      </c>
      <c r="C593" t="s">
        <v>39</v>
      </c>
      <c r="D593" s="3">
        <v>40000</v>
      </c>
      <c r="E593">
        <v>4</v>
      </c>
      <c r="F593" t="s">
        <v>27</v>
      </c>
      <c r="G593" t="s">
        <v>21</v>
      </c>
      <c r="H593" t="s">
        <v>18</v>
      </c>
      <c r="I593">
        <v>2</v>
      </c>
      <c r="J593" t="s">
        <v>30</v>
      </c>
      <c r="K593" t="s">
        <v>32</v>
      </c>
      <c r="L593">
        <v>61</v>
      </c>
      <c r="M593" t="str">
        <f t="shared" si="9"/>
        <v>Senior(55+)</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 (35-54)</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 (35-54)</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Senior(55+)</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Senior(55+)</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 (35-54)</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Senior(55+)</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 (35-54)</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Senior(55+)</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 (35-54)</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 (35-54)</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 (35-54)</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 (35-54)</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Young Adult (18-34)</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 (35-54)</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 (35-54)</v>
      </c>
      <c r="N608" t="s">
        <v>18</v>
      </c>
    </row>
    <row r="609" spans="1:14" x14ac:dyDescent="0.25">
      <c r="A609">
        <v>16145</v>
      </c>
      <c r="B609" t="s">
        <v>37</v>
      </c>
      <c r="C609" t="s">
        <v>38</v>
      </c>
      <c r="D609" s="3">
        <v>70000</v>
      </c>
      <c r="E609">
        <v>5</v>
      </c>
      <c r="F609" t="s">
        <v>31</v>
      </c>
      <c r="G609" t="s">
        <v>21</v>
      </c>
      <c r="H609" t="s">
        <v>15</v>
      </c>
      <c r="I609">
        <v>3</v>
      </c>
      <c r="J609" t="s">
        <v>30</v>
      </c>
      <c r="K609" t="s">
        <v>32</v>
      </c>
      <c r="L609">
        <v>46</v>
      </c>
      <c r="M609" t="str">
        <f t="shared" si="9"/>
        <v>Middle Age (35-54)</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 (35-54)</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 (35-54)</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 (35-54)</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Young Adult (18-34)</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Young Adult (18-34)</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 (35-54)</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 (35-54)</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 (35-54)</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 (35-54)</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 (35-54)</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 (35-54)</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Young Adult (18-34)</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 (35-54)</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Senior(55+)</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 (35-54)</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Senior(55+)</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Young Adult (18-34)</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Senior(55+)</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Young Adult (18-34)</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Senior(55+)</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 (35-54)</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 (35-54)</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Young Adult (18-34)</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 (35-54)</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 (35-54)</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 (35-54)</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Senior(55+)</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 (35-54)</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 (35-54)</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Young Adult (18-34)</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Senior(55+)</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Senior(55+)</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ref="M642:M705" si="10">IF(L642&lt;18,"Adolescent(&lt;18)",IF(L642&lt;=34,"Young Adult (18-34)",IF(L642&lt;=54,"Middle Age (35-54)","Senior(55+)")))</f>
        <v>Senior(55+)</v>
      </c>
      <c r="N642" t="s">
        <v>15</v>
      </c>
    </row>
    <row r="643" spans="1:14" x14ac:dyDescent="0.25">
      <c r="A643">
        <v>21441</v>
      </c>
      <c r="B643" t="s">
        <v>36</v>
      </c>
      <c r="C643" t="s">
        <v>39</v>
      </c>
      <c r="D643" s="3">
        <v>50000</v>
      </c>
      <c r="E643">
        <v>4</v>
      </c>
      <c r="F643" t="s">
        <v>13</v>
      </c>
      <c r="G643" t="s">
        <v>28</v>
      </c>
      <c r="H643" t="s">
        <v>15</v>
      </c>
      <c r="I643">
        <v>2</v>
      </c>
      <c r="J643" t="s">
        <v>30</v>
      </c>
      <c r="K643" t="s">
        <v>32</v>
      </c>
      <c r="L643">
        <v>64</v>
      </c>
      <c r="M643" t="str">
        <f t="shared" si="10"/>
        <v>Senior(55+)</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 (35-54)</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 (35-54)</v>
      </c>
      <c r="N645" t="s">
        <v>15</v>
      </c>
    </row>
    <row r="646" spans="1:14" x14ac:dyDescent="0.25">
      <c r="A646">
        <v>23368</v>
      </c>
      <c r="B646" t="s">
        <v>36</v>
      </c>
      <c r="C646" t="s">
        <v>38</v>
      </c>
      <c r="D646" s="3">
        <v>60000</v>
      </c>
      <c r="E646">
        <v>5</v>
      </c>
      <c r="F646" t="s">
        <v>13</v>
      </c>
      <c r="G646" t="s">
        <v>14</v>
      </c>
      <c r="H646" t="s">
        <v>15</v>
      </c>
      <c r="I646">
        <v>3</v>
      </c>
      <c r="J646" t="s">
        <v>30</v>
      </c>
      <c r="K646" t="s">
        <v>32</v>
      </c>
      <c r="L646">
        <v>41</v>
      </c>
      <c r="M646" t="str">
        <f t="shared" si="10"/>
        <v>Middle Age (35-54)</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 (35-54)</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 (35-54)</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Young Adult (18-34)</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Senior(55+)</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 (35-54)</v>
      </c>
      <c r="N651" t="s">
        <v>15</v>
      </c>
    </row>
    <row r="652" spans="1:14" x14ac:dyDescent="0.25">
      <c r="A652">
        <v>18435</v>
      </c>
      <c r="B652" t="s">
        <v>37</v>
      </c>
      <c r="C652" t="s">
        <v>38</v>
      </c>
      <c r="D652" s="3">
        <v>70000</v>
      </c>
      <c r="E652">
        <v>5</v>
      </c>
      <c r="F652" t="s">
        <v>31</v>
      </c>
      <c r="G652" t="s">
        <v>28</v>
      </c>
      <c r="H652" t="s">
        <v>15</v>
      </c>
      <c r="I652">
        <v>2</v>
      </c>
      <c r="J652" t="s">
        <v>30</v>
      </c>
      <c r="K652" t="s">
        <v>32</v>
      </c>
      <c r="L652">
        <v>67</v>
      </c>
      <c r="M652" t="str">
        <f t="shared" si="10"/>
        <v>Senior(55+)</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Young Adult (18-34)</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 (35-54)</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Young Adult (18-34)</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Young Adult (18-34)</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Young Adult (18-34)</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 (35-54)</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 (35-54)</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 (35-54)</v>
      </c>
      <c r="N660" t="s">
        <v>15</v>
      </c>
    </row>
    <row r="661" spans="1:14" x14ac:dyDescent="0.25">
      <c r="A661">
        <v>24643</v>
      </c>
      <c r="B661" t="s">
        <v>37</v>
      </c>
      <c r="C661" t="s">
        <v>38</v>
      </c>
      <c r="D661" s="3">
        <v>60000</v>
      </c>
      <c r="E661">
        <v>4</v>
      </c>
      <c r="F661" t="s">
        <v>13</v>
      </c>
      <c r="G661" t="s">
        <v>28</v>
      </c>
      <c r="H661" t="s">
        <v>15</v>
      </c>
      <c r="I661">
        <v>2</v>
      </c>
      <c r="J661" t="s">
        <v>30</v>
      </c>
      <c r="K661" t="s">
        <v>32</v>
      </c>
      <c r="L661">
        <v>63</v>
      </c>
      <c r="M661" t="str">
        <f t="shared" si="10"/>
        <v>Senior(55+)</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 (35-54)</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Young Adult (18-34)</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 (35-54)</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 (35-54)</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 (35-54)</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 (35-54)</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 (35-54)</v>
      </c>
      <c r="N668" t="s">
        <v>15</v>
      </c>
    </row>
    <row r="669" spans="1:14" x14ac:dyDescent="0.25">
      <c r="A669">
        <v>20505</v>
      </c>
      <c r="B669" t="s">
        <v>36</v>
      </c>
      <c r="C669" t="s">
        <v>38</v>
      </c>
      <c r="D669" s="3">
        <v>40000</v>
      </c>
      <c r="E669">
        <v>5</v>
      </c>
      <c r="F669" t="s">
        <v>27</v>
      </c>
      <c r="G669" t="s">
        <v>21</v>
      </c>
      <c r="H669" t="s">
        <v>18</v>
      </c>
      <c r="I669">
        <v>2</v>
      </c>
      <c r="J669" t="s">
        <v>30</v>
      </c>
      <c r="K669" t="s">
        <v>32</v>
      </c>
      <c r="L669">
        <v>61</v>
      </c>
      <c r="M669" t="str">
        <f t="shared" si="10"/>
        <v>Senior(55+)</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 (35-54)</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 (35-54)</v>
      </c>
      <c r="N671" t="s">
        <v>18</v>
      </c>
    </row>
    <row r="672" spans="1:14" x14ac:dyDescent="0.25">
      <c r="A672">
        <v>21471</v>
      </c>
      <c r="B672" t="s">
        <v>36</v>
      </c>
      <c r="C672" t="s">
        <v>39</v>
      </c>
      <c r="D672" s="3">
        <v>70000</v>
      </c>
      <c r="E672">
        <v>2</v>
      </c>
      <c r="F672" t="s">
        <v>19</v>
      </c>
      <c r="G672" t="s">
        <v>21</v>
      </c>
      <c r="H672" t="s">
        <v>15</v>
      </c>
      <c r="I672">
        <v>1</v>
      </c>
      <c r="J672" t="s">
        <v>30</v>
      </c>
      <c r="K672" t="s">
        <v>32</v>
      </c>
      <c r="L672">
        <v>59</v>
      </c>
      <c r="M672" t="str">
        <f t="shared" si="10"/>
        <v>Senior(55+)</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 (35-54)</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Young Adult (18-34)</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 (35-54)</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 (35-54)</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 (35-54)</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 (35-54)</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 (35-54)</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Senior(55+)</v>
      </c>
      <c r="N680" t="s">
        <v>18</v>
      </c>
    </row>
    <row r="681" spans="1:14" x14ac:dyDescent="0.25">
      <c r="A681">
        <v>21770</v>
      </c>
      <c r="B681" t="s">
        <v>36</v>
      </c>
      <c r="C681" t="s">
        <v>39</v>
      </c>
      <c r="D681" s="3">
        <v>60000</v>
      </c>
      <c r="E681">
        <v>4</v>
      </c>
      <c r="F681" t="s">
        <v>13</v>
      </c>
      <c r="G681" t="s">
        <v>28</v>
      </c>
      <c r="H681" t="s">
        <v>15</v>
      </c>
      <c r="I681">
        <v>2</v>
      </c>
      <c r="J681" t="s">
        <v>30</v>
      </c>
      <c r="K681" t="s">
        <v>32</v>
      </c>
      <c r="L681">
        <v>60</v>
      </c>
      <c r="M681" t="str">
        <f t="shared" si="10"/>
        <v>Senior(55+)</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Young Adult (18-34)</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 (35-54)</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 (35-54)</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 (35-54)</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 (35-54)</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 (35-54)</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 (35-54)</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Young Adult (18-34)</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Young Adult (18-34)</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Young Adult (18-34)</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 (35-54)</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Young Adult (18-34)</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 (35-54)</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 (35-54)</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 (35-54)</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 (35-54)</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Young Adult (18-34)</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Young Adult (18-34)</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 (35-54)</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 (35-54)</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Senior(55+)</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Young Adult (18-34)</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 (35-54)</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Young Adult (18-34)</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ref="M706:M769" si="11">IF(L706&lt;18,"Adolescent(&lt;18)",IF(L706&lt;=34,"Young Adult (18-34)",IF(L706&lt;=54,"Middle Age (35-54)","Senior(55+)")))</f>
        <v>Middle Age (35-54)</v>
      </c>
      <c r="N706" t="s">
        <v>15</v>
      </c>
    </row>
    <row r="707" spans="1:14" x14ac:dyDescent="0.25">
      <c r="A707">
        <v>11199</v>
      </c>
      <c r="B707" t="s">
        <v>36</v>
      </c>
      <c r="C707" t="s">
        <v>38</v>
      </c>
      <c r="D707" s="3">
        <v>70000</v>
      </c>
      <c r="E707">
        <v>4</v>
      </c>
      <c r="F707" t="s">
        <v>13</v>
      </c>
      <c r="G707" t="s">
        <v>28</v>
      </c>
      <c r="H707" t="s">
        <v>15</v>
      </c>
      <c r="I707">
        <v>1</v>
      </c>
      <c r="J707" t="s">
        <v>30</v>
      </c>
      <c r="K707" t="s">
        <v>32</v>
      </c>
      <c r="L707">
        <v>59</v>
      </c>
      <c r="M707" t="str">
        <f t="shared" si="11"/>
        <v>Senior(55+)</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Young Adult (18-34)</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 (35-54)</v>
      </c>
      <c r="N709" t="s">
        <v>15</v>
      </c>
    </row>
    <row r="710" spans="1:14" x14ac:dyDescent="0.25">
      <c r="A710">
        <v>18069</v>
      </c>
      <c r="B710" t="s">
        <v>36</v>
      </c>
      <c r="C710" t="s">
        <v>39</v>
      </c>
      <c r="D710" s="3">
        <v>70000</v>
      </c>
      <c r="E710">
        <v>5</v>
      </c>
      <c r="F710" t="s">
        <v>13</v>
      </c>
      <c r="G710" t="s">
        <v>28</v>
      </c>
      <c r="H710" t="s">
        <v>15</v>
      </c>
      <c r="I710">
        <v>4</v>
      </c>
      <c r="J710" t="s">
        <v>30</v>
      </c>
      <c r="K710" t="s">
        <v>32</v>
      </c>
      <c r="L710">
        <v>60</v>
      </c>
      <c r="M710" t="str">
        <f t="shared" si="11"/>
        <v>Senior(55+)</v>
      </c>
      <c r="N710" t="s">
        <v>18</v>
      </c>
    </row>
    <row r="711" spans="1:14" x14ac:dyDescent="0.25">
      <c r="A711">
        <v>23712</v>
      </c>
      <c r="B711" t="s">
        <v>37</v>
      </c>
      <c r="C711" t="s">
        <v>38</v>
      </c>
      <c r="D711" s="3">
        <v>70000</v>
      </c>
      <c r="E711">
        <v>2</v>
      </c>
      <c r="F711" t="s">
        <v>13</v>
      </c>
      <c r="G711" t="s">
        <v>28</v>
      </c>
      <c r="H711" t="s">
        <v>15</v>
      </c>
      <c r="I711">
        <v>1</v>
      </c>
      <c r="J711" t="s">
        <v>30</v>
      </c>
      <c r="K711" t="s">
        <v>32</v>
      </c>
      <c r="L711">
        <v>59</v>
      </c>
      <c r="M711" t="str">
        <f t="shared" si="11"/>
        <v>Senior(55+)</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Young Adult (18-34)</v>
      </c>
      <c r="N712" t="s">
        <v>15</v>
      </c>
    </row>
    <row r="713" spans="1:14" x14ac:dyDescent="0.25">
      <c r="A713">
        <v>20518</v>
      </c>
      <c r="B713" t="s">
        <v>36</v>
      </c>
      <c r="C713" t="s">
        <v>38</v>
      </c>
      <c r="D713" s="3">
        <v>70000</v>
      </c>
      <c r="E713">
        <v>2</v>
      </c>
      <c r="F713" t="s">
        <v>19</v>
      </c>
      <c r="G713" t="s">
        <v>21</v>
      </c>
      <c r="H713" t="s">
        <v>15</v>
      </c>
      <c r="I713">
        <v>1</v>
      </c>
      <c r="J713" t="s">
        <v>30</v>
      </c>
      <c r="K713" t="s">
        <v>32</v>
      </c>
      <c r="L713">
        <v>58</v>
      </c>
      <c r="M713" t="str">
        <f t="shared" si="11"/>
        <v>Senior(55+)</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Senior(55+)</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 (35-54)</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Young Adult (18-34)</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 (35-54)</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 (35-54)</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 (35-54)</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 (35-54)</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 (35-54)</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Senior(55+)</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 (35-54)</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 (35-54)</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 (35-54)</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 (35-54)</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 (35-54)</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 (35-54)</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 (35-54)</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Young Adult (18-34)</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 (35-54)</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 (35-54)</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 (35-54)</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 (35-54)</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 (35-54)</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 (35-54)</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Young Adult (18-34)</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Young Adult (18-34)</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 (35-54)</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 (35-54)</v>
      </c>
      <c r="N740" t="s">
        <v>15</v>
      </c>
    </row>
    <row r="741" spans="1:14" x14ac:dyDescent="0.25">
      <c r="A741">
        <v>11225</v>
      </c>
      <c r="B741" t="s">
        <v>36</v>
      </c>
      <c r="C741" t="s">
        <v>38</v>
      </c>
      <c r="D741" s="3">
        <v>60000</v>
      </c>
      <c r="E741">
        <v>2</v>
      </c>
      <c r="F741" t="s">
        <v>19</v>
      </c>
      <c r="G741" t="s">
        <v>21</v>
      </c>
      <c r="H741" t="s">
        <v>15</v>
      </c>
      <c r="I741">
        <v>1</v>
      </c>
      <c r="J741" t="s">
        <v>30</v>
      </c>
      <c r="K741" t="s">
        <v>32</v>
      </c>
      <c r="L741">
        <v>55</v>
      </c>
      <c r="M741" t="str">
        <f t="shared" si="11"/>
        <v>Senior(55+)</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Young Adult (18-34)</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 (35-54)</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Young Adult (18-34)</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 (35-54)</v>
      </c>
      <c r="N745" t="s">
        <v>18</v>
      </c>
    </row>
    <row r="746" spans="1:14" x14ac:dyDescent="0.25">
      <c r="A746">
        <v>20535</v>
      </c>
      <c r="B746" t="s">
        <v>36</v>
      </c>
      <c r="C746" t="s">
        <v>38</v>
      </c>
      <c r="D746" s="3">
        <v>70000</v>
      </c>
      <c r="E746">
        <v>4</v>
      </c>
      <c r="F746" t="s">
        <v>19</v>
      </c>
      <c r="G746" t="s">
        <v>21</v>
      </c>
      <c r="H746" t="s">
        <v>15</v>
      </c>
      <c r="I746">
        <v>1</v>
      </c>
      <c r="J746" t="s">
        <v>30</v>
      </c>
      <c r="K746" t="s">
        <v>32</v>
      </c>
      <c r="L746">
        <v>56</v>
      </c>
      <c r="M746" t="str">
        <f t="shared" si="11"/>
        <v>Senior(55+)</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 (35-54)</v>
      </c>
      <c r="N747" t="s">
        <v>15</v>
      </c>
    </row>
    <row r="748" spans="1:14" x14ac:dyDescent="0.25">
      <c r="A748">
        <v>28043</v>
      </c>
      <c r="B748" t="s">
        <v>36</v>
      </c>
      <c r="C748" t="s">
        <v>38</v>
      </c>
      <c r="D748" s="3">
        <v>60000</v>
      </c>
      <c r="E748">
        <v>2</v>
      </c>
      <c r="F748" t="s">
        <v>13</v>
      </c>
      <c r="G748" t="s">
        <v>28</v>
      </c>
      <c r="H748" t="s">
        <v>15</v>
      </c>
      <c r="I748">
        <v>0</v>
      </c>
      <c r="J748" t="s">
        <v>30</v>
      </c>
      <c r="K748" t="s">
        <v>32</v>
      </c>
      <c r="L748">
        <v>56</v>
      </c>
      <c r="M748" t="str">
        <f t="shared" si="11"/>
        <v>Senior(55+)</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 (35-54)</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Senior(55+)</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Senior(55+)</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 (35-54)</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 (35-54)</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Young Adult (18-34)</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Young Adult (18-34)</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Senior(55+)</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 (35-54)</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 (35-54)</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 (35-54)</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 (35-54)</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 (35-54)</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 (35-54)</v>
      </c>
      <c r="N762" t="s">
        <v>18</v>
      </c>
    </row>
    <row r="763" spans="1:14" x14ac:dyDescent="0.25">
      <c r="A763">
        <v>13216</v>
      </c>
      <c r="B763" t="s">
        <v>36</v>
      </c>
      <c r="C763" t="s">
        <v>38</v>
      </c>
      <c r="D763" s="3">
        <v>60000</v>
      </c>
      <c r="E763">
        <v>5</v>
      </c>
      <c r="F763" t="s">
        <v>13</v>
      </c>
      <c r="G763" t="s">
        <v>28</v>
      </c>
      <c r="H763" t="s">
        <v>15</v>
      </c>
      <c r="I763">
        <v>3</v>
      </c>
      <c r="J763" t="s">
        <v>30</v>
      </c>
      <c r="K763" t="s">
        <v>32</v>
      </c>
      <c r="L763">
        <v>59</v>
      </c>
      <c r="M763" t="str">
        <f t="shared" si="11"/>
        <v>Senior(55+)</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 (35-54)</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Young Adult (18-34)</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Young Adult (18-34)</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Young Adult (18-34)</v>
      </c>
      <c r="N767" t="s">
        <v>15</v>
      </c>
    </row>
    <row r="768" spans="1:14" x14ac:dyDescent="0.25">
      <c r="A768">
        <v>14608</v>
      </c>
      <c r="B768" t="s">
        <v>36</v>
      </c>
      <c r="C768" t="s">
        <v>39</v>
      </c>
      <c r="D768" s="3">
        <v>50000</v>
      </c>
      <c r="E768">
        <v>4</v>
      </c>
      <c r="F768" t="s">
        <v>13</v>
      </c>
      <c r="G768" t="s">
        <v>14</v>
      </c>
      <c r="H768" t="s">
        <v>15</v>
      </c>
      <c r="I768">
        <v>3</v>
      </c>
      <c r="J768" t="s">
        <v>30</v>
      </c>
      <c r="K768" t="s">
        <v>32</v>
      </c>
      <c r="L768">
        <v>42</v>
      </c>
      <c r="M768" t="str">
        <f t="shared" si="11"/>
        <v>Middle Age (35-54)</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Senior(55+)</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ref="M770:M833" si="12">IF(L770&lt;18,"Adolescent(&lt;18)",IF(L770&lt;=34,"Young Adult (18-34)",IF(L770&lt;=54,"Middle Age (35-54)","Senior(55+)")))</f>
        <v>Middle Age (35-54)</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si="12"/>
        <v>Middle Age (35-54)</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Senior(55+)</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 (35-54)</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 (35-54)</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Young Adult (18-34)</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 (35-54)</v>
      </c>
      <c r="N776" t="s">
        <v>15</v>
      </c>
    </row>
    <row r="777" spans="1:14" x14ac:dyDescent="0.25">
      <c r="A777">
        <v>29030</v>
      </c>
      <c r="B777" t="s">
        <v>36</v>
      </c>
      <c r="C777" t="s">
        <v>39</v>
      </c>
      <c r="D777" s="3">
        <v>70000</v>
      </c>
      <c r="E777">
        <v>2</v>
      </c>
      <c r="F777" t="s">
        <v>29</v>
      </c>
      <c r="G777" t="s">
        <v>14</v>
      </c>
      <c r="H777" t="s">
        <v>15</v>
      </c>
      <c r="I777">
        <v>2</v>
      </c>
      <c r="J777" t="s">
        <v>30</v>
      </c>
      <c r="K777" t="s">
        <v>32</v>
      </c>
      <c r="L777">
        <v>54</v>
      </c>
      <c r="M777" t="str">
        <f t="shared" si="12"/>
        <v>Middle Age (35-54)</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Senior(55+)</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Young Adult (18-34)</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 (35-54)</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 (35-54)</v>
      </c>
      <c r="N781" t="s">
        <v>15</v>
      </c>
    </row>
    <row r="782" spans="1:14" x14ac:dyDescent="0.25">
      <c r="A782">
        <v>18105</v>
      </c>
      <c r="B782" t="s">
        <v>36</v>
      </c>
      <c r="C782" t="s">
        <v>38</v>
      </c>
      <c r="D782" s="3">
        <v>60000</v>
      </c>
      <c r="E782">
        <v>2</v>
      </c>
      <c r="F782" t="s">
        <v>19</v>
      </c>
      <c r="G782" t="s">
        <v>21</v>
      </c>
      <c r="H782" t="s">
        <v>15</v>
      </c>
      <c r="I782">
        <v>1</v>
      </c>
      <c r="J782" t="s">
        <v>30</v>
      </c>
      <c r="K782" t="s">
        <v>32</v>
      </c>
      <c r="L782">
        <v>55</v>
      </c>
      <c r="M782" t="str">
        <f t="shared" si="12"/>
        <v>Senior(55+)</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 (35-54)</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 (35-54)</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 (35-54)</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 (35-54)</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Young Adult (18-34)</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 (35-54)</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Senior(55+)</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 (35-54)</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 (35-54)</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 (35-54)</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Young Adult (18-34)</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 (35-54)</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 (35-54)</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Senior(55+)</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 (35-54)</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Senior(55+)</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Young Adult (18-34)</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Young Adult (18-34)</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Young Adult (18-34)</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 (35-54)</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Senior(55+)</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Young Adult (18-34)</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Young Adult (18-34)</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Young Adult (18-34)</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Young Adult (18-34)</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 (35-54)</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Young Adult (18-34)</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 (35-54)</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Senior(55+)</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 (35-54)</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Young Adult (18-34)</v>
      </c>
      <c r="N813" t="s">
        <v>18</v>
      </c>
    </row>
    <row r="814" spans="1:14" x14ac:dyDescent="0.25">
      <c r="A814">
        <v>15749</v>
      </c>
      <c r="B814" t="s">
        <v>37</v>
      </c>
      <c r="C814" t="s">
        <v>38</v>
      </c>
      <c r="D814" s="3">
        <v>70000</v>
      </c>
      <c r="E814">
        <v>4</v>
      </c>
      <c r="F814" t="s">
        <v>13</v>
      </c>
      <c r="G814" t="s">
        <v>28</v>
      </c>
      <c r="H814" t="s">
        <v>15</v>
      </c>
      <c r="I814">
        <v>2</v>
      </c>
      <c r="J814" t="s">
        <v>30</v>
      </c>
      <c r="K814" t="s">
        <v>32</v>
      </c>
      <c r="L814">
        <v>61</v>
      </c>
      <c r="M814" t="str">
        <f t="shared" si="12"/>
        <v>Senior(55+)</v>
      </c>
      <c r="N814" t="s">
        <v>18</v>
      </c>
    </row>
    <row r="815" spans="1:14" x14ac:dyDescent="0.25">
      <c r="A815">
        <v>25899</v>
      </c>
      <c r="B815" t="s">
        <v>36</v>
      </c>
      <c r="C815" t="s">
        <v>38</v>
      </c>
      <c r="D815" s="3">
        <v>70000</v>
      </c>
      <c r="E815">
        <v>2</v>
      </c>
      <c r="F815" t="s">
        <v>27</v>
      </c>
      <c r="G815" t="s">
        <v>21</v>
      </c>
      <c r="H815" t="s">
        <v>15</v>
      </c>
      <c r="I815">
        <v>2</v>
      </c>
      <c r="J815" t="s">
        <v>30</v>
      </c>
      <c r="K815" t="s">
        <v>32</v>
      </c>
      <c r="L815">
        <v>53</v>
      </c>
      <c r="M815" t="str">
        <f t="shared" si="12"/>
        <v>Middle Age (35-54)</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Senior(55+)</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Young Adult (18-34)</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 (35-54)</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 (35-54)</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Young Adult (18-34)</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Young Adult (18-34)</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 (35-54)</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Young Adult (18-34)</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Young Adult (18-34)</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 (35-54)</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 (35-54)</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 (35-54)</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 (35-54)</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 (35-54)</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Young Adult (18-34)</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Senior(55+)</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 (35-54)</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 (35-54)</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ref="M834:M897" si="13">IF(L834&lt;18,"Adolescent(&lt;18)",IF(L834&lt;=34,"Young Adult (18-34)",IF(L834&lt;=54,"Middle Age (35-54)","Senior(55+)")))</f>
        <v>Middle Age (35-54)</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si="13"/>
        <v>Middle Age (35-54)</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 (35-54)</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 (35-54)</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Young Adult (18-34)</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Young Adult (18-34)</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 (35-54)</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 (35-54)</v>
      </c>
      <c r="N841" t="s">
        <v>15</v>
      </c>
    </row>
    <row r="842" spans="1:14" x14ac:dyDescent="0.25">
      <c r="A842">
        <v>11233</v>
      </c>
      <c r="B842" t="s">
        <v>36</v>
      </c>
      <c r="C842" t="s">
        <v>39</v>
      </c>
      <c r="D842" s="3">
        <v>70000</v>
      </c>
      <c r="E842">
        <v>4</v>
      </c>
      <c r="F842" t="s">
        <v>19</v>
      </c>
      <c r="G842" t="s">
        <v>21</v>
      </c>
      <c r="H842" t="s">
        <v>15</v>
      </c>
      <c r="I842">
        <v>2</v>
      </c>
      <c r="J842" t="s">
        <v>30</v>
      </c>
      <c r="K842" t="s">
        <v>32</v>
      </c>
      <c r="L842">
        <v>53</v>
      </c>
      <c r="M842" t="str">
        <f t="shared" si="13"/>
        <v>Middle Age (35-54)</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Senior(55+)</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 (35-54)</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 (35-54)</v>
      </c>
      <c r="N845" t="s">
        <v>18</v>
      </c>
    </row>
    <row r="846" spans="1:14" x14ac:dyDescent="0.25">
      <c r="A846">
        <v>22743</v>
      </c>
      <c r="B846" t="s">
        <v>36</v>
      </c>
      <c r="C846" t="s">
        <v>38</v>
      </c>
      <c r="D846" s="3">
        <v>40000</v>
      </c>
      <c r="E846">
        <v>5</v>
      </c>
      <c r="F846" t="s">
        <v>27</v>
      </c>
      <c r="G846" t="s">
        <v>21</v>
      </c>
      <c r="H846" t="s">
        <v>15</v>
      </c>
      <c r="I846">
        <v>2</v>
      </c>
      <c r="J846" t="s">
        <v>30</v>
      </c>
      <c r="K846" t="s">
        <v>32</v>
      </c>
      <c r="L846">
        <v>60</v>
      </c>
      <c r="M846" t="str">
        <f t="shared" si="13"/>
        <v>Senior(55+)</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 (35-54)</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Senior(55+)</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Young Adult (18-34)</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 (35-54)</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Senior(55+)</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Senior(55+)</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Young Adult (18-34)</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 (35-54)</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 (35-54)</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Young Adult (18-34)</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Young Adult (18-34)</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Young Adult (18-34)</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 (35-54)</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 (35-54)</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 (35-54)</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Young Adult (18-34)</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 (35-54)</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Young Adult (18-34)</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 (35-54)</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Young Adult (18-34)</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 (35-54)</v>
      </c>
      <c r="N867" t="s">
        <v>15</v>
      </c>
    </row>
    <row r="868" spans="1:14" x14ac:dyDescent="0.25">
      <c r="A868">
        <v>28052</v>
      </c>
      <c r="B868" t="s">
        <v>36</v>
      </c>
      <c r="C868" t="s">
        <v>39</v>
      </c>
      <c r="D868" s="3">
        <v>60000</v>
      </c>
      <c r="E868">
        <v>2</v>
      </c>
      <c r="F868" t="s">
        <v>27</v>
      </c>
      <c r="G868" t="s">
        <v>21</v>
      </c>
      <c r="H868" t="s">
        <v>15</v>
      </c>
      <c r="I868">
        <v>2</v>
      </c>
      <c r="J868" t="s">
        <v>30</v>
      </c>
      <c r="K868" t="s">
        <v>32</v>
      </c>
      <c r="L868">
        <v>55</v>
      </c>
      <c r="M868" t="str">
        <f t="shared" si="13"/>
        <v>Senior(55+)</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 (35-54)</v>
      </c>
      <c r="N869" t="s">
        <v>18</v>
      </c>
    </row>
    <row r="870" spans="1:14" x14ac:dyDescent="0.25">
      <c r="A870">
        <v>24955</v>
      </c>
      <c r="B870" t="s">
        <v>37</v>
      </c>
      <c r="C870" t="s">
        <v>39</v>
      </c>
      <c r="D870" s="3">
        <v>30000</v>
      </c>
      <c r="E870">
        <v>5</v>
      </c>
      <c r="F870" t="s">
        <v>29</v>
      </c>
      <c r="G870" t="s">
        <v>14</v>
      </c>
      <c r="H870" t="s">
        <v>15</v>
      </c>
      <c r="I870">
        <v>3</v>
      </c>
      <c r="J870" t="s">
        <v>30</v>
      </c>
      <c r="K870" t="s">
        <v>32</v>
      </c>
      <c r="L870">
        <v>60</v>
      </c>
      <c r="M870" t="str">
        <f t="shared" si="13"/>
        <v>Senior(55+)</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 (35-54)</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 (35-54)</v>
      </c>
      <c r="N872" t="s">
        <v>18</v>
      </c>
    </row>
    <row r="873" spans="1:14" x14ac:dyDescent="0.25">
      <c r="A873">
        <v>11219</v>
      </c>
      <c r="B873" t="s">
        <v>36</v>
      </c>
      <c r="C873" t="s">
        <v>39</v>
      </c>
      <c r="D873" s="3">
        <v>60000</v>
      </c>
      <c r="E873">
        <v>2</v>
      </c>
      <c r="F873" t="s">
        <v>27</v>
      </c>
      <c r="G873" t="s">
        <v>21</v>
      </c>
      <c r="H873" t="s">
        <v>15</v>
      </c>
      <c r="I873">
        <v>2</v>
      </c>
      <c r="J873" t="s">
        <v>30</v>
      </c>
      <c r="K873" t="s">
        <v>32</v>
      </c>
      <c r="L873">
        <v>55</v>
      </c>
      <c r="M873" t="str">
        <f t="shared" si="13"/>
        <v>Senior(55+)</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 (35-54)</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 (35-54)</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 (35-54)</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 (35-54)</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Young Adult (18-34)</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Senior(55+)</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Senior(55+)</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 (35-54)</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 (35-54)</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Senior(55+)</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Young Adult (18-34)</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 (35-54)</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Senior(55+)</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 (35-54)</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Young Adult (18-34)</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Young Adult (18-34)</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 (35-54)</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 (35-54)</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 (35-54)</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Senior(55+)</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 (35-54)</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 (35-54)</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 (35-54)</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Senior(55+)</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ref="M898:M961" si="14">IF(L898&lt;18,"Adolescent(&lt;18)",IF(L898&lt;=34,"Young Adult (18-34)",IF(L898&lt;=54,"Middle Age (35-54)","Senior(55+)")))</f>
        <v>Young Adult (18-34)</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si="14"/>
        <v>Young Adult (18-34)</v>
      </c>
      <c r="N899" t="s">
        <v>18</v>
      </c>
    </row>
    <row r="900" spans="1:14" x14ac:dyDescent="0.25">
      <c r="A900">
        <v>18066</v>
      </c>
      <c r="B900" t="s">
        <v>37</v>
      </c>
      <c r="C900" t="s">
        <v>39</v>
      </c>
      <c r="D900" s="3">
        <v>70000</v>
      </c>
      <c r="E900">
        <v>5</v>
      </c>
      <c r="F900" t="s">
        <v>13</v>
      </c>
      <c r="G900" t="s">
        <v>28</v>
      </c>
      <c r="H900" t="s">
        <v>15</v>
      </c>
      <c r="I900">
        <v>3</v>
      </c>
      <c r="J900" t="s">
        <v>30</v>
      </c>
      <c r="K900" t="s">
        <v>32</v>
      </c>
      <c r="L900">
        <v>60</v>
      </c>
      <c r="M900" t="str">
        <f t="shared" si="14"/>
        <v>Senior(55+)</v>
      </c>
      <c r="N900" t="s">
        <v>15</v>
      </c>
    </row>
    <row r="901" spans="1:14" x14ac:dyDescent="0.25">
      <c r="A901">
        <v>28192</v>
      </c>
      <c r="B901" t="s">
        <v>36</v>
      </c>
      <c r="C901" t="s">
        <v>38</v>
      </c>
      <c r="D901" s="3">
        <v>70000</v>
      </c>
      <c r="E901">
        <v>5</v>
      </c>
      <c r="F901" t="s">
        <v>31</v>
      </c>
      <c r="G901" t="s">
        <v>21</v>
      </c>
      <c r="H901" t="s">
        <v>15</v>
      </c>
      <c r="I901">
        <v>3</v>
      </c>
      <c r="J901" t="s">
        <v>30</v>
      </c>
      <c r="K901" t="s">
        <v>32</v>
      </c>
      <c r="L901">
        <v>46</v>
      </c>
      <c r="M901" t="str">
        <f t="shared" si="14"/>
        <v>Middle Age (35-54)</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 (35-54)</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 (35-54)</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 (35-54)</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Senior(55+)</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 (35-54)</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 (35-54)</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Young Adult (18-34)</v>
      </c>
      <c r="N908" t="s">
        <v>15</v>
      </c>
    </row>
    <row r="909" spans="1:14" x14ac:dyDescent="0.25">
      <c r="A909">
        <v>19747</v>
      </c>
      <c r="B909" t="s">
        <v>36</v>
      </c>
      <c r="C909" t="s">
        <v>39</v>
      </c>
      <c r="D909" s="3">
        <v>50000</v>
      </c>
      <c r="E909">
        <v>4</v>
      </c>
      <c r="F909" t="s">
        <v>13</v>
      </c>
      <c r="G909" t="s">
        <v>28</v>
      </c>
      <c r="H909" t="s">
        <v>15</v>
      </c>
      <c r="I909">
        <v>2</v>
      </c>
      <c r="J909" t="s">
        <v>30</v>
      </c>
      <c r="K909" t="s">
        <v>32</v>
      </c>
      <c r="L909">
        <v>63</v>
      </c>
      <c r="M909" t="str">
        <f t="shared" si="14"/>
        <v>Senior(55+)</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 (35-54)</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 (35-54)</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 (35-54)</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Senior(55+)</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Young Adult (18-34)</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 (35-54)</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 (35-54)</v>
      </c>
      <c r="N916" t="s">
        <v>18</v>
      </c>
    </row>
    <row r="917" spans="1:14" x14ac:dyDescent="0.25">
      <c r="A917">
        <v>21752</v>
      </c>
      <c r="B917" t="s">
        <v>36</v>
      </c>
      <c r="C917" t="s">
        <v>39</v>
      </c>
      <c r="D917" s="3">
        <v>60000</v>
      </c>
      <c r="E917">
        <v>3</v>
      </c>
      <c r="F917" t="s">
        <v>31</v>
      </c>
      <c r="G917" t="s">
        <v>28</v>
      </c>
      <c r="H917" t="s">
        <v>15</v>
      </c>
      <c r="I917">
        <v>2</v>
      </c>
      <c r="J917" t="s">
        <v>30</v>
      </c>
      <c r="K917" t="s">
        <v>32</v>
      </c>
      <c r="L917">
        <v>64</v>
      </c>
      <c r="M917" t="str">
        <f t="shared" si="14"/>
        <v>Senior(55+)</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 (35-54)</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 (35-54)</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Young Adult (18-34)</v>
      </c>
      <c r="N920" t="s">
        <v>15</v>
      </c>
    </row>
    <row r="921" spans="1:14" x14ac:dyDescent="0.25">
      <c r="A921">
        <v>21451</v>
      </c>
      <c r="B921" t="s">
        <v>36</v>
      </c>
      <c r="C921" t="s">
        <v>38</v>
      </c>
      <c r="D921" s="3">
        <v>40000</v>
      </c>
      <c r="E921">
        <v>4</v>
      </c>
      <c r="F921" t="s">
        <v>27</v>
      </c>
      <c r="G921" t="s">
        <v>21</v>
      </c>
      <c r="H921" t="s">
        <v>15</v>
      </c>
      <c r="I921">
        <v>2</v>
      </c>
      <c r="J921" t="s">
        <v>30</v>
      </c>
      <c r="K921" t="s">
        <v>32</v>
      </c>
      <c r="L921">
        <v>61</v>
      </c>
      <c r="M921" t="str">
        <f t="shared" si="14"/>
        <v>Senior(55+)</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 (35-54)</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 (35-54)</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 (35-54)</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 (35-54)</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 (35-54)</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Young Adult (18-34)</v>
      </c>
      <c r="N927" t="s">
        <v>15</v>
      </c>
    </row>
    <row r="928" spans="1:14" x14ac:dyDescent="0.25">
      <c r="A928">
        <v>26495</v>
      </c>
      <c r="B928" t="s">
        <v>37</v>
      </c>
      <c r="C928" t="s">
        <v>38</v>
      </c>
      <c r="D928" s="3">
        <v>40000</v>
      </c>
      <c r="E928">
        <v>2</v>
      </c>
      <c r="F928" t="s">
        <v>27</v>
      </c>
      <c r="G928" t="s">
        <v>21</v>
      </c>
      <c r="H928" t="s">
        <v>15</v>
      </c>
      <c r="I928">
        <v>2</v>
      </c>
      <c r="J928" t="s">
        <v>30</v>
      </c>
      <c r="K928" t="s">
        <v>32</v>
      </c>
      <c r="L928">
        <v>57</v>
      </c>
      <c r="M928" t="str">
        <f t="shared" si="14"/>
        <v>Senior(55+)</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 (35-54)</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 (35-54)</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 (35-54)</v>
      </c>
      <c r="N931" t="s">
        <v>18</v>
      </c>
    </row>
    <row r="932" spans="1:14" x14ac:dyDescent="0.25">
      <c r="A932">
        <v>19543</v>
      </c>
      <c r="B932" t="s">
        <v>36</v>
      </c>
      <c r="C932" t="s">
        <v>39</v>
      </c>
      <c r="D932" s="3">
        <v>70000</v>
      </c>
      <c r="E932">
        <v>5</v>
      </c>
      <c r="F932" t="s">
        <v>31</v>
      </c>
      <c r="G932" t="s">
        <v>21</v>
      </c>
      <c r="H932" t="s">
        <v>18</v>
      </c>
      <c r="I932">
        <v>3</v>
      </c>
      <c r="J932" t="s">
        <v>30</v>
      </c>
      <c r="K932" t="s">
        <v>32</v>
      </c>
      <c r="L932">
        <v>47</v>
      </c>
      <c r="M932" t="str">
        <f t="shared" si="14"/>
        <v>Middle Age (35-54)</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 (35-54)</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Young Adult (18-34)</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Young Adult (18-34)</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Senior(55+)</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 (35-54)</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Senior(55+)</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 (35-54)</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Young Adult (18-34)</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 (35-54)</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 (35-54)</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Young Adult (18-34)</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 (35-54)</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 (35-54)</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Young Adult (18-34)</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 (35-54)</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Senior(55+)</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 (35-54)</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 (35-54)</v>
      </c>
      <c r="N950" t="s">
        <v>18</v>
      </c>
    </row>
    <row r="951" spans="1:14" x14ac:dyDescent="0.25">
      <c r="A951">
        <v>28056</v>
      </c>
      <c r="B951" t="s">
        <v>36</v>
      </c>
      <c r="C951" t="s">
        <v>39</v>
      </c>
      <c r="D951" s="3">
        <v>70000</v>
      </c>
      <c r="E951">
        <v>2</v>
      </c>
      <c r="F951" t="s">
        <v>29</v>
      </c>
      <c r="G951" t="s">
        <v>14</v>
      </c>
      <c r="H951" t="s">
        <v>15</v>
      </c>
      <c r="I951">
        <v>2</v>
      </c>
      <c r="J951" t="s">
        <v>30</v>
      </c>
      <c r="K951" t="s">
        <v>32</v>
      </c>
      <c r="L951">
        <v>53</v>
      </c>
      <c r="M951" t="str">
        <f t="shared" si="14"/>
        <v>Middle Age (35-54)</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Young Adult (18-34)</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 (35-54)</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Senior(55+)</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Young Adult (18-34)</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 (35-54)</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 (35-54)</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 (35-54)</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Young Adult (18-34)</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 (35-54)</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 (35-54)</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ref="M962:M1001" si="15">IF(L962&lt;18,"Adolescent(&lt;18)",IF(L962&lt;=34,"Young Adult (18-34)",IF(L962&lt;=54,"Middle Age (35-54)","Senior(55+)")))</f>
        <v>Middle Age (35-54)</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si="15"/>
        <v>Senior(55+)</v>
      </c>
      <c r="N963" t="s">
        <v>18</v>
      </c>
    </row>
    <row r="964" spans="1:14" x14ac:dyDescent="0.25">
      <c r="A964">
        <v>16813</v>
      </c>
      <c r="B964" t="s">
        <v>36</v>
      </c>
      <c r="C964" t="s">
        <v>39</v>
      </c>
      <c r="D964" s="3">
        <v>60000</v>
      </c>
      <c r="E964">
        <v>2</v>
      </c>
      <c r="F964" t="s">
        <v>19</v>
      </c>
      <c r="G964" t="s">
        <v>21</v>
      </c>
      <c r="H964" t="s">
        <v>15</v>
      </c>
      <c r="I964">
        <v>2</v>
      </c>
      <c r="J964" t="s">
        <v>30</v>
      </c>
      <c r="K964" t="s">
        <v>32</v>
      </c>
      <c r="L964">
        <v>55</v>
      </c>
      <c r="M964" t="str">
        <f t="shared" si="15"/>
        <v>Senior(55+)</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Senior(55+)</v>
      </c>
      <c r="N965" t="s">
        <v>15</v>
      </c>
    </row>
    <row r="966" spans="1:14" x14ac:dyDescent="0.25">
      <c r="A966">
        <v>27434</v>
      </c>
      <c r="B966" t="s">
        <v>37</v>
      </c>
      <c r="C966" t="s">
        <v>39</v>
      </c>
      <c r="D966" s="3">
        <v>70000</v>
      </c>
      <c r="E966">
        <v>4</v>
      </c>
      <c r="F966" t="s">
        <v>19</v>
      </c>
      <c r="G966" t="s">
        <v>21</v>
      </c>
      <c r="H966" t="s">
        <v>15</v>
      </c>
      <c r="I966">
        <v>1</v>
      </c>
      <c r="J966" t="s">
        <v>30</v>
      </c>
      <c r="K966" t="s">
        <v>32</v>
      </c>
      <c r="L966">
        <v>56</v>
      </c>
      <c r="M966" t="str">
        <f t="shared" si="15"/>
        <v>Senior(55+)</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 (35-54)</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Young Adult (18-34)</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Senior(55+)</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Young Adult (18-34)</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 (35-54)</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Young Adult (18-34)</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 (35-54)</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 (35-54)</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 (35-54)</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 (35-54)</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 (35-54)</v>
      </c>
      <c r="N977" t="s">
        <v>15</v>
      </c>
    </row>
    <row r="978" spans="1:14" x14ac:dyDescent="0.25">
      <c r="A978">
        <v>28004</v>
      </c>
      <c r="B978" t="s">
        <v>36</v>
      </c>
      <c r="C978" t="s">
        <v>38</v>
      </c>
      <c r="D978" s="3">
        <v>60000</v>
      </c>
      <c r="E978">
        <v>3</v>
      </c>
      <c r="F978" t="s">
        <v>13</v>
      </c>
      <c r="G978" t="s">
        <v>28</v>
      </c>
      <c r="H978" t="s">
        <v>15</v>
      </c>
      <c r="I978">
        <v>2</v>
      </c>
      <c r="J978" t="s">
        <v>30</v>
      </c>
      <c r="K978" t="s">
        <v>32</v>
      </c>
      <c r="L978">
        <v>66</v>
      </c>
      <c r="M978" t="str">
        <f t="shared" si="15"/>
        <v>Senior(55+)</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Senior(55+)</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 (35-54)</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Young Adult (18-34)</v>
      </c>
      <c r="N981" t="s">
        <v>18</v>
      </c>
    </row>
    <row r="982" spans="1:14" x14ac:dyDescent="0.25">
      <c r="A982">
        <v>18594</v>
      </c>
      <c r="B982" t="s">
        <v>37</v>
      </c>
      <c r="C982" t="s">
        <v>38</v>
      </c>
      <c r="D982" s="3">
        <v>80000</v>
      </c>
      <c r="E982">
        <v>3</v>
      </c>
      <c r="F982" t="s">
        <v>13</v>
      </c>
      <c r="G982" t="s">
        <v>14</v>
      </c>
      <c r="H982" t="s">
        <v>15</v>
      </c>
      <c r="I982">
        <v>3</v>
      </c>
      <c r="J982" t="s">
        <v>30</v>
      </c>
      <c r="K982" t="s">
        <v>32</v>
      </c>
      <c r="L982">
        <v>40</v>
      </c>
      <c r="M982" t="str">
        <f t="shared" si="15"/>
        <v>Middle Age (35-54)</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 (35-54)</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 (35-54)</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 (35-54)</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 (35-54)</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 (35-54)</v>
      </c>
      <c r="N987" t="s">
        <v>18</v>
      </c>
    </row>
    <row r="988" spans="1:14" x14ac:dyDescent="0.25">
      <c r="A988">
        <v>23704</v>
      </c>
      <c r="B988" t="s">
        <v>37</v>
      </c>
      <c r="C988" t="s">
        <v>39</v>
      </c>
      <c r="D988" s="3">
        <v>40000</v>
      </c>
      <c r="E988">
        <v>5</v>
      </c>
      <c r="F988" t="s">
        <v>27</v>
      </c>
      <c r="G988" t="s">
        <v>21</v>
      </c>
      <c r="H988" t="s">
        <v>15</v>
      </c>
      <c r="I988">
        <v>4</v>
      </c>
      <c r="J988" t="s">
        <v>30</v>
      </c>
      <c r="K988" t="s">
        <v>32</v>
      </c>
      <c r="L988">
        <v>60</v>
      </c>
      <c r="M988" t="str">
        <f t="shared" si="15"/>
        <v>Senior(55+)</v>
      </c>
      <c r="N988" t="s">
        <v>15</v>
      </c>
    </row>
    <row r="989" spans="1:14" x14ac:dyDescent="0.25">
      <c r="A989">
        <v>28972</v>
      </c>
      <c r="B989" t="s">
        <v>37</v>
      </c>
      <c r="C989" t="s">
        <v>38</v>
      </c>
      <c r="D989" s="3">
        <v>60000</v>
      </c>
      <c r="E989">
        <v>3</v>
      </c>
      <c r="F989" t="s">
        <v>31</v>
      </c>
      <c r="G989" t="s">
        <v>28</v>
      </c>
      <c r="H989" t="s">
        <v>15</v>
      </c>
      <c r="I989">
        <v>2</v>
      </c>
      <c r="J989" t="s">
        <v>30</v>
      </c>
      <c r="K989" t="s">
        <v>32</v>
      </c>
      <c r="L989">
        <v>66</v>
      </c>
      <c r="M989" t="str">
        <f t="shared" si="15"/>
        <v>Senior(55+)</v>
      </c>
      <c r="N989" t="s">
        <v>18</v>
      </c>
    </row>
    <row r="990" spans="1:14" x14ac:dyDescent="0.25">
      <c r="A990">
        <v>22730</v>
      </c>
      <c r="B990" t="s">
        <v>36</v>
      </c>
      <c r="C990" t="s">
        <v>39</v>
      </c>
      <c r="D990" s="3">
        <v>70000</v>
      </c>
      <c r="E990">
        <v>5</v>
      </c>
      <c r="F990" t="s">
        <v>13</v>
      </c>
      <c r="G990" t="s">
        <v>28</v>
      </c>
      <c r="H990" t="s">
        <v>15</v>
      </c>
      <c r="I990">
        <v>2</v>
      </c>
      <c r="J990" t="s">
        <v>30</v>
      </c>
      <c r="K990" t="s">
        <v>32</v>
      </c>
      <c r="L990">
        <v>63</v>
      </c>
      <c r="M990" t="str">
        <f t="shared" si="15"/>
        <v>Senior(55+)</v>
      </c>
      <c r="N990" t="s">
        <v>18</v>
      </c>
    </row>
    <row r="991" spans="1:14" x14ac:dyDescent="0.25">
      <c r="A991">
        <v>29134</v>
      </c>
      <c r="B991" t="s">
        <v>36</v>
      </c>
      <c r="C991" t="s">
        <v>39</v>
      </c>
      <c r="D991" s="3">
        <v>60000</v>
      </c>
      <c r="E991">
        <v>4</v>
      </c>
      <c r="F991" t="s">
        <v>13</v>
      </c>
      <c r="G991" t="s">
        <v>14</v>
      </c>
      <c r="H991" t="s">
        <v>18</v>
      </c>
      <c r="I991">
        <v>3</v>
      </c>
      <c r="J991" t="s">
        <v>30</v>
      </c>
      <c r="K991" t="s">
        <v>32</v>
      </c>
      <c r="L991">
        <v>42</v>
      </c>
      <c r="M991" t="str">
        <f t="shared" si="15"/>
        <v>Middle Age (35-54)</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Young Adult (18-34)</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 (35-54)</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 (35-54)</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 (35-54)</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 (35-54)</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 (35-54)</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 (35-54)</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 (35-54)</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 (35-54)</v>
      </c>
      <c r="N1000" t="s">
        <v>18</v>
      </c>
    </row>
    <row r="1001" spans="1:14" x14ac:dyDescent="0.25">
      <c r="A1001">
        <v>12121</v>
      </c>
      <c r="B1001" t="s">
        <v>37</v>
      </c>
      <c r="C1001" t="s">
        <v>39</v>
      </c>
      <c r="D1001" s="3">
        <v>60000</v>
      </c>
      <c r="E1001">
        <v>3</v>
      </c>
      <c r="F1001" t="s">
        <v>27</v>
      </c>
      <c r="G1001" t="s">
        <v>21</v>
      </c>
      <c r="H1001" t="s">
        <v>15</v>
      </c>
      <c r="I1001">
        <v>2</v>
      </c>
      <c r="J1001" t="s">
        <v>30</v>
      </c>
      <c r="K1001" t="s">
        <v>32</v>
      </c>
      <c r="L1001">
        <v>53</v>
      </c>
      <c r="M1001" t="str">
        <f t="shared" si="15"/>
        <v>Middle Age (35-54)</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DBC3F-D5DC-48C1-9D1F-5E7E39F8654D}">
  <dimension ref="A3:D71"/>
  <sheetViews>
    <sheetView topLeftCell="A13" workbookViewId="0">
      <selection activeCell="P13" sqref="P1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8" max="8" width="6.140625" customWidth="1"/>
  </cols>
  <sheetData>
    <row r="3" spans="1:4" x14ac:dyDescent="0.25">
      <c r="A3" s="4" t="s">
        <v>44</v>
      </c>
      <c r="B3" s="4" t="s">
        <v>43</v>
      </c>
    </row>
    <row r="4" spans="1:4" x14ac:dyDescent="0.25">
      <c r="A4" s="4" t="s">
        <v>41</v>
      </c>
      <c r="B4" t="s">
        <v>18</v>
      </c>
      <c r="C4" t="s">
        <v>15</v>
      </c>
      <c r="D4" t="s">
        <v>42</v>
      </c>
    </row>
    <row r="5" spans="1:4" x14ac:dyDescent="0.25">
      <c r="A5" s="5" t="s">
        <v>38</v>
      </c>
      <c r="B5" s="7">
        <v>70588.23529411765</v>
      </c>
      <c r="C5" s="7">
        <v>64705.882352941175</v>
      </c>
      <c r="D5" s="7">
        <v>67647.058823529413</v>
      </c>
    </row>
    <row r="6" spans="1:4" x14ac:dyDescent="0.25">
      <c r="A6" s="5" t="s">
        <v>39</v>
      </c>
      <c r="B6" s="7">
        <v>97500</v>
      </c>
      <c r="C6" s="7">
        <v>78750</v>
      </c>
      <c r="D6" s="7">
        <v>85000</v>
      </c>
    </row>
    <row r="7" spans="1:4" x14ac:dyDescent="0.25">
      <c r="A7" s="5" t="s">
        <v>42</v>
      </c>
      <c r="B7" s="6">
        <v>75714.28571428571</v>
      </c>
      <c r="C7" s="6">
        <v>69200</v>
      </c>
      <c r="D7" s="6">
        <v>72173.913043478256</v>
      </c>
    </row>
    <row r="17" spans="1:4" x14ac:dyDescent="0.25">
      <c r="A17" s="4" t="s">
        <v>45</v>
      </c>
      <c r="B17" s="4" t="s">
        <v>43</v>
      </c>
    </row>
    <row r="18" spans="1:4" x14ac:dyDescent="0.25">
      <c r="A18" s="4" t="s">
        <v>41</v>
      </c>
      <c r="B18" t="s">
        <v>18</v>
      </c>
      <c r="C18" t="s">
        <v>15</v>
      </c>
      <c r="D18" t="s">
        <v>42</v>
      </c>
    </row>
    <row r="19" spans="1:4" x14ac:dyDescent="0.25">
      <c r="A19" s="5" t="s">
        <v>16</v>
      </c>
      <c r="B19">
        <v>8</v>
      </c>
      <c r="C19">
        <v>5</v>
      </c>
      <c r="D19">
        <v>13</v>
      </c>
    </row>
    <row r="20" spans="1:4" x14ac:dyDescent="0.25">
      <c r="A20" s="5" t="s">
        <v>26</v>
      </c>
      <c r="B20">
        <v>7</v>
      </c>
      <c r="C20">
        <v>4</v>
      </c>
      <c r="D20">
        <v>11</v>
      </c>
    </row>
    <row r="21" spans="1:4" x14ac:dyDescent="0.25">
      <c r="A21" s="5" t="s">
        <v>22</v>
      </c>
      <c r="B21">
        <v>1</v>
      </c>
      <c r="C21">
        <v>9</v>
      </c>
      <c r="D21">
        <v>10</v>
      </c>
    </row>
    <row r="22" spans="1:4" x14ac:dyDescent="0.25">
      <c r="A22" s="5" t="s">
        <v>23</v>
      </c>
      <c r="B22">
        <v>3</v>
      </c>
      <c r="C22">
        <v>4</v>
      </c>
      <c r="D22">
        <v>7</v>
      </c>
    </row>
    <row r="23" spans="1:4" x14ac:dyDescent="0.25">
      <c r="A23" s="5" t="s">
        <v>30</v>
      </c>
      <c r="B23">
        <v>2</v>
      </c>
      <c r="C23">
        <v>3</v>
      </c>
      <c r="D23">
        <v>5</v>
      </c>
    </row>
    <row r="24" spans="1:4" x14ac:dyDescent="0.25">
      <c r="A24" s="5" t="s">
        <v>42</v>
      </c>
      <c r="B24">
        <v>21</v>
      </c>
      <c r="C24">
        <v>25</v>
      </c>
      <c r="D24">
        <v>46</v>
      </c>
    </row>
    <row r="33" spans="1:4" x14ac:dyDescent="0.25">
      <c r="A33" s="4" t="s">
        <v>45</v>
      </c>
      <c r="B33" s="4" t="s">
        <v>43</v>
      </c>
    </row>
    <row r="34" spans="1:4" x14ac:dyDescent="0.25">
      <c r="A34" s="4" t="s">
        <v>41</v>
      </c>
      <c r="B34" t="s">
        <v>18</v>
      </c>
      <c r="C34" t="s">
        <v>15</v>
      </c>
      <c r="D34" t="s">
        <v>42</v>
      </c>
    </row>
    <row r="35" spans="1:4" x14ac:dyDescent="0.25">
      <c r="A35" s="5" t="s">
        <v>49</v>
      </c>
      <c r="B35">
        <v>2</v>
      </c>
      <c r="C35">
        <v>3</v>
      </c>
      <c r="D35">
        <v>5</v>
      </c>
    </row>
    <row r="36" spans="1:4" x14ac:dyDescent="0.25">
      <c r="A36" s="5" t="s">
        <v>47</v>
      </c>
      <c r="B36">
        <v>13</v>
      </c>
      <c r="C36">
        <v>18</v>
      </c>
      <c r="D36">
        <v>31</v>
      </c>
    </row>
    <row r="37" spans="1:4" x14ac:dyDescent="0.25">
      <c r="A37" s="5" t="s">
        <v>48</v>
      </c>
      <c r="B37">
        <v>6</v>
      </c>
      <c r="C37">
        <v>4</v>
      </c>
      <c r="D37">
        <v>10</v>
      </c>
    </row>
    <row r="38" spans="1:4" x14ac:dyDescent="0.25">
      <c r="A38" s="5" t="s">
        <v>42</v>
      </c>
      <c r="B38">
        <v>21</v>
      </c>
      <c r="C38">
        <v>25</v>
      </c>
      <c r="D38">
        <v>46</v>
      </c>
    </row>
    <row r="48" spans="1:4" x14ac:dyDescent="0.25">
      <c r="A48" s="4" t="s">
        <v>45</v>
      </c>
      <c r="B48" s="4" t="s">
        <v>43</v>
      </c>
    </row>
    <row r="49" spans="1:4" x14ac:dyDescent="0.25">
      <c r="A49" s="4" t="s">
        <v>41</v>
      </c>
      <c r="B49" t="s">
        <v>18</v>
      </c>
      <c r="C49" t="s">
        <v>15</v>
      </c>
      <c r="D49" t="s">
        <v>42</v>
      </c>
    </row>
    <row r="50" spans="1:4" x14ac:dyDescent="0.25">
      <c r="A50" s="5">
        <v>33</v>
      </c>
      <c r="B50">
        <v>1</v>
      </c>
      <c r="C50">
        <v>2</v>
      </c>
      <c r="D50">
        <v>3</v>
      </c>
    </row>
    <row r="51" spans="1:4" x14ac:dyDescent="0.25">
      <c r="A51" s="5">
        <v>34</v>
      </c>
      <c r="B51">
        <v>1</v>
      </c>
      <c r="C51">
        <v>1</v>
      </c>
      <c r="D51">
        <v>2</v>
      </c>
    </row>
    <row r="52" spans="1:4" x14ac:dyDescent="0.25">
      <c r="A52" s="5">
        <v>35</v>
      </c>
      <c r="B52">
        <v>1</v>
      </c>
      <c r="C52">
        <v>4</v>
      </c>
      <c r="D52">
        <v>5</v>
      </c>
    </row>
    <row r="53" spans="1:4" x14ac:dyDescent="0.25">
      <c r="A53" s="5">
        <v>36</v>
      </c>
      <c r="C53">
        <v>3</v>
      </c>
      <c r="D53">
        <v>3</v>
      </c>
    </row>
    <row r="54" spans="1:4" x14ac:dyDescent="0.25">
      <c r="A54" s="5">
        <v>37</v>
      </c>
      <c r="C54">
        <v>1</v>
      </c>
      <c r="D54">
        <v>1</v>
      </c>
    </row>
    <row r="55" spans="1:4" x14ac:dyDescent="0.25">
      <c r="A55" s="5">
        <v>38</v>
      </c>
      <c r="C55">
        <v>2</v>
      </c>
      <c r="D55">
        <v>2</v>
      </c>
    </row>
    <row r="56" spans="1:4" x14ac:dyDescent="0.25">
      <c r="A56" s="5">
        <v>39</v>
      </c>
      <c r="B56">
        <v>1</v>
      </c>
      <c r="D56">
        <v>1</v>
      </c>
    </row>
    <row r="57" spans="1:4" x14ac:dyDescent="0.25">
      <c r="A57" s="5">
        <v>40</v>
      </c>
      <c r="B57">
        <v>2</v>
      </c>
      <c r="D57">
        <v>2</v>
      </c>
    </row>
    <row r="58" spans="1:4" x14ac:dyDescent="0.25">
      <c r="A58" s="5">
        <v>43</v>
      </c>
      <c r="C58">
        <v>1</v>
      </c>
      <c r="D58">
        <v>1</v>
      </c>
    </row>
    <row r="59" spans="1:4" x14ac:dyDescent="0.25">
      <c r="A59" s="5">
        <v>46</v>
      </c>
      <c r="C59">
        <v>1</v>
      </c>
      <c r="D59">
        <v>1</v>
      </c>
    </row>
    <row r="60" spans="1:4" x14ac:dyDescent="0.25">
      <c r="A60" s="5">
        <v>47</v>
      </c>
      <c r="B60">
        <v>5</v>
      </c>
      <c r="C60">
        <v>2</v>
      </c>
      <c r="D60">
        <v>7</v>
      </c>
    </row>
    <row r="61" spans="1:4" x14ac:dyDescent="0.25">
      <c r="A61" s="5">
        <v>48</v>
      </c>
      <c r="B61">
        <v>2</v>
      </c>
      <c r="D61">
        <v>2</v>
      </c>
    </row>
    <row r="62" spans="1:4" x14ac:dyDescent="0.25">
      <c r="A62" s="5">
        <v>52</v>
      </c>
      <c r="B62">
        <v>1</v>
      </c>
      <c r="C62">
        <v>1</v>
      </c>
      <c r="D62">
        <v>2</v>
      </c>
    </row>
    <row r="63" spans="1:4" x14ac:dyDescent="0.25">
      <c r="A63" s="5">
        <v>53</v>
      </c>
      <c r="B63">
        <v>1</v>
      </c>
      <c r="C63">
        <v>3</v>
      </c>
      <c r="D63">
        <v>4</v>
      </c>
    </row>
    <row r="64" spans="1:4" x14ac:dyDescent="0.25">
      <c r="A64" s="5">
        <v>61</v>
      </c>
      <c r="C64">
        <v>1</v>
      </c>
      <c r="D64">
        <v>1</v>
      </c>
    </row>
    <row r="65" spans="1:4" x14ac:dyDescent="0.25">
      <c r="A65" s="5">
        <v>65</v>
      </c>
      <c r="B65">
        <v>1</v>
      </c>
      <c r="D65">
        <v>1</v>
      </c>
    </row>
    <row r="66" spans="1:4" x14ac:dyDescent="0.25">
      <c r="A66" s="5">
        <v>66</v>
      </c>
      <c r="B66">
        <v>2</v>
      </c>
      <c r="D66">
        <v>2</v>
      </c>
    </row>
    <row r="67" spans="1:4" x14ac:dyDescent="0.25">
      <c r="A67" s="5">
        <v>67</v>
      </c>
      <c r="B67">
        <v>1</v>
      </c>
      <c r="C67">
        <v>1</v>
      </c>
      <c r="D67">
        <v>2</v>
      </c>
    </row>
    <row r="68" spans="1:4" x14ac:dyDescent="0.25">
      <c r="A68" s="5">
        <v>69</v>
      </c>
      <c r="B68">
        <v>1</v>
      </c>
      <c r="D68">
        <v>1</v>
      </c>
    </row>
    <row r="69" spans="1:4" x14ac:dyDescent="0.25">
      <c r="A69" s="5">
        <v>73</v>
      </c>
      <c r="B69">
        <v>1</v>
      </c>
      <c r="C69">
        <v>1</v>
      </c>
      <c r="D69">
        <v>2</v>
      </c>
    </row>
    <row r="70" spans="1:4" x14ac:dyDescent="0.25">
      <c r="A70" s="5">
        <v>74</v>
      </c>
      <c r="C70">
        <v>1</v>
      </c>
      <c r="D70">
        <v>1</v>
      </c>
    </row>
    <row r="71" spans="1:4" x14ac:dyDescent="0.25">
      <c r="A71" s="5" t="s">
        <v>42</v>
      </c>
      <c r="B71">
        <v>21</v>
      </c>
      <c r="C71">
        <v>25</v>
      </c>
      <c r="D71">
        <v>46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DD603-B84C-4C7B-9A1E-7AE7A4547B1A}">
  <dimension ref="A1:M30"/>
  <sheetViews>
    <sheetView showGridLines="0" tabSelected="1" workbookViewId="0">
      <selection activeCell="Q18" sqref="Q18"/>
    </sheetView>
  </sheetViews>
  <sheetFormatPr defaultRowHeight="15" x14ac:dyDescent="0.25"/>
  <cols>
    <col min="1" max="1" width="15.5703125" customWidth="1"/>
    <col min="2" max="2" width="9.140625" customWidth="1"/>
    <col min="10" max="10" width="9.85546875" customWidth="1"/>
    <col min="11" max="11" width="11.85546875" customWidth="1"/>
    <col min="12" max="12" width="10.42578125" customWidth="1"/>
    <col min="13" max="13" width="6.7109375" customWidth="1"/>
  </cols>
  <sheetData>
    <row r="1" spans="1:13" ht="14.45" customHeight="1" x14ac:dyDescent="0.25">
      <c r="A1" s="9" t="s">
        <v>46</v>
      </c>
      <c r="B1" s="9"/>
      <c r="C1" s="9"/>
      <c r="D1" s="9"/>
      <c r="E1" s="9"/>
      <c r="F1" s="9"/>
      <c r="G1" s="9"/>
      <c r="H1" s="9"/>
      <c r="I1" s="9"/>
      <c r="J1" s="9"/>
      <c r="K1" s="9"/>
      <c r="L1" s="9"/>
      <c r="M1" s="9"/>
    </row>
    <row r="2" spans="1:13" ht="9.9499999999999993" customHeight="1" x14ac:dyDescent="0.25">
      <c r="A2" s="9"/>
      <c r="B2" s="9"/>
      <c r="C2" s="9"/>
      <c r="D2" s="9"/>
      <c r="E2" s="9"/>
      <c r="F2" s="9"/>
      <c r="G2" s="9"/>
      <c r="H2" s="9"/>
      <c r="I2" s="9"/>
      <c r="J2" s="9"/>
      <c r="K2" s="9"/>
      <c r="L2" s="9"/>
      <c r="M2" s="9"/>
    </row>
    <row r="3" spans="1:13" ht="14.45" customHeight="1" x14ac:dyDescent="0.25">
      <c r="A3" s="9"/>
      <c r="B3" s="9"/>
      <c r="C3" s="9"/>
      <c r="D3" s="9"/>
      <c r="E3" s="9"/>
      <c r="F3" s="9"/>
      <c r="G3" s="9"/>
      <c r="H3" s="9"/>
      <c r="I3" s="9"/>
      <c r="J3" s="9"/>
      <c r="K3" s="9"/>
      <c r="L3" s="9"/>
      <c r="M3" s="9"/>
    </row>
    <row r="4" spans="1:13" ht="8.4499999999999993" customHeight="1" x14ac:dyDescent="0.25">
      <c r="A4" s="9"/>
      <c r="B4" s="9"/>
      <c r="C4" s="9"/>
      <c r="D4" s="9"/>
      <c r="E4" s="9"/>
      <c r="F4" s="9"/>
      <c r="G4" s="9"/>
      <c r="H4" s="9"/>
      <c r="I4" s="9"/>
      <c r="J4" s="9"/>
      <c r="K4" s="9"/>
      <c r="L4" s="9"/>
      <c r="M4" s="9"/>
    </row>
    <row r="5" spans="1:13" x14ac:dyDescent="0.25">
      <c r="A5" s="8"/>
      <c r="B5" s="8"/>
    </row>
    <row r="6" spans="1:13" x14ac:dyDescent="0.25">
      <c r="A6" s="8"/>
      <c r="B6" s="8"/>
    </row>
    <row r="7" spans="1:13" x14ac:dyDescent="0.25">
      <c r="A7" s="8"/>
      <c r="B7" s="8"/>
    </row>
    <row r="8" spans="1:13" x14ac:dyDescent="0.25">
      <c r="A8" s="8"/>
      <c r="B8" s="8"/>
    </row>
    <row r="9" spans="1:13" x14ac:dyDescent="0.25">
      <c r="A9" s="8"/>
      <c r="B9" s="8"/>
    </row>
    <row r="10" spans="1:13" x14ac:dyDescent="0.25">
      <c r="A10" s="8"/>
      <c r="B10" s="8"/>
    </row>
    <row r="11" spans="1:13" x14ac:dyDescent="0.25">
      <c r="A11" s="8"/>
      <c r="B11" s="8"/>
    </row>
    <row r="12" spans="1:13" x14ac:dyDescent="0.25">
      <c r="A12" s="8"/>
      <c r="B12" s="8"/>
    </row>
    <row r="13" spans="1:13" x14ac:dyDescent="0.25">
      <c r="A13" s="8"/>
      <c r="B13" s="8"/>
    </row>
    <row r="14" spans="1:13" x14ac:dyDescent="0.25">
      <c r="A14" s="8"/>
      <c r="B14" s="8"/>
    </row>
    <row r="15" spans="1:13" x14ac:dyDescent="0.25">
      <c r="A15" s="8"/>
      <c r="B15" s="8"/>
    </row>
    <row r="16" spans="1:13" x14ac:dyDescent="0.25">
      <c r="A16" s="8"/>
      <c r="B16" s="8"/>
    </row>
    <row r="17" spans="1:2" x14ac:dyDescent="0.25">
      <c r="A17" s="8"/>
      <c r="B17" s="8"/>
    </row>
    <row r="18" spans="1:2" x14ac:dyDescent="0.25">
      <c r="A18" s="8"/>
      <c r="B18" s="8"/>
    </row>
    <row r="19" spans="1:2" x14ac:dyDescent="0.25">
      <c r="A19" s="8"/>
      <c r="B19" s="8"/>
    </row>
    <row r="20" spans="1:2" x14ac:dyDescent="0.25">
      <c r="A20" s="8"/>
      <c r="B20" s="8"/>
    </row>
    <row r="21" spans="1:2" x14ac:dyDescent="0.25">
      <c r="A21" s="8"/>
      <c r="B21" s="8"/>
    </row>
    <row r="22" spans="1:2" x14ac:dyDescent="0.25">
      <c r="A22" s="8"/>
      <c r="B22" s="8"/>
    </row>
    <row r="23" spans="1:2" x14ac:dyDescent="0.25">
      <c r="A23" s="8"/>
      <c r="B23" s="8"/>
    </row>
    <row r="24" spans="1:2" x14ac:dyDescent="0.25">
      <c r="A24" s="8"/>
      <c r="B24" s="8"/>
    </row>
    <row r="25" spans="1:2" x14ac:dyDescent="0.25">
      <c r="A25" s="8"/>
      <c r="B25" s="8"/>
    </row>
    <row r="26" spans="1:2" x14ac:dyDescent="0.25">
      <c r="A26" s="8"/>
      <c r="B26" s="8"/>
    </row>
    <row r="27" spans="1:2" x14ac:dyDescent="0.25">
      <c r="A27" s="8"/>
      <c r="B27" s="8"/>
    </row>
    <row r="28" spans="1:2" x14ac:dyDescent="0.25">
      <c r="A28" s="8"/>
      <c r="B28" s="8"/>
    </row>
    <row r="29" spans="1:2" x14ac:dyDescent="0.25">
      <c r="A29" s="8"/>
      <c r="B29" s="8"/>
    </row>
    <row r="30" spans="1:2" x14ac:dyDescent="0.25">
      <c r="A30" s="8"/>
      <c r="B30" s="8"/>
    </row>
  </sheetData>
  <mergeCells count="1">
    <mergeCell ref="A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74812A-EF14-4AF2-9920-E6C9D03818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Sylvia Ifeanyichukwu</cp:lastModifiedBy>
  <dcterms:created xsi:type="dcterms:W3CDTF">2022-03-18T02:50:57Z</dcterms:created>
  <dcterms:modified xsi:type="dcterms:W3CDTF">2025-10-02T08:30:58Z</dcterms:modified>
</cp:coreProperties>
</file>