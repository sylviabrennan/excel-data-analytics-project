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ATA ANALYSIS\AlexTheAnalyst DA Tutorial\"/>
    </mc:Choice>
  </mc:AlternateContent>
  <xr:revisionPtr revIDLastSave="0" documentId="13_ncr:1_{122E975F-D309-4CDC-9FBE-B5358CC29FAD}" xr6:coauthVersionLast="47" xr6:coauthVersionMax="47" xr10:uidLastSave="{00000000-0000-0000-0000-000000000000}"/>
  <bookViews>
    <workbookView xWindow="-110" yWindow="-110" windowWidth="19420" windowHeight="10300" firstSheet="6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Concatenate" sheetId="1" r:id="rId7"/>
    <sheet name="Substitute" sheetId="7" r:id="rId8"/>
    <sheet name="SUM-SumIF" sheetId="12" r:id="rId9"/>
    <sheet name="Count-CountIF" sheetId="5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2" i="13"/>
  <c r="J3" i="13"/>
  <c r="J4" i="13"/>
  <c r="J5" i="13"/>
  <c r="J6" i="13"/>
  <c r="J7" i="13"/>
  <c r="J8" i="13"/>
  <c r="J9" i="13"/>
  <c r="J10" i="13"/>
  <c r="J2" i="13"/>
  <c r="L2" i="5"/>
  <c r="K2" i="5"/>
  <c r="J2" i="5"/>
  <c r="L2" i="12"/>
  <c r="K2" i="12"/>
  <c r="J2" i="12"/>
  <c r="K2" i="7" a="1"/>
  <c r="J2" i="7" a="1"/>
  <c r="J2" i="7" s="1"/>
  <c r="K3" i="1"/>
  <c r="K4" i="1"/>
  <c r="K5" i="1"/>
  <c r="K6" i="1"/>
  <c r="K7" i="1"/>
  <c r="K8" i="1"/>
  <c r="K9" i="1"/>
  <c r="K10" i="1"/>
  <c r="K2" i="1"/>
  <c r="J3" i="1"/>
  <c r="J4" i="1"/>
  <c r="J5" i="1"/>
  <c r="J6" i="1"/>
  <c r="J7" i="1"/>
  <c r="J8" i="1"/>
  <c r="J9" i="1"/>
  <c r="J10" i="1"/>
  <c r="J11" i="1"/>
  <c r="J12" i="1"/>
  <c r="J2" i="1"/>
  <c r="L2" i="7" a="1"/>
  <c r="L2" i="7" s="1"/>
  <c r="J2" i="6" a="1"/>
  <c r="J2" i="6" s="1"/>
  <c r="J3" i="3"/>
  <c r="J4" i="3"/>
  <c r="J5" i="3"/>
  <c r="J6" i="3"/>
  <c r="J7" i="3"/>
  <c r="J8" i="3"/>
  <c r="J9" i="3"/>
  <c r="J10" i="3"/>
  <c r="J2" i="3"/>
  <c r="M2" i="4" a="1"/>
  <c r="M2" i="4" s="1"/>
  <c r="L2" i="4" a="1"/>
  <c r="L2" i="4" s="1"/>
  <c r="K2" i="4" a="1"/>
  <c r="K2" i="4" s="1"/>
  <c r="J2" i="2" a="1"/>
  <c r="J2" i="2" s="1"/>
  <c r="K2" i="8" a="1"/>
  <c r="K2" i="8" s="1"/>
  <c r="J2" i="8" a="1"/>
  <c r="J2" i="8" s="1"/>
  <c r="K3" i="9"/>
  <c r="J3" i="9"/>
  <c r="K2" i="9"/>
  <c r="J2" i="9"/>
  <c r="H11" i="1"/>
  <c r="H12" i="1"/>
  <c r="K2" i="7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<sst xmlns="http://schemas.openxmlformats.org/spreadsheetml/2006/main" count="583" uniqueCount="89">
  <si>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</si>
  <si>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</si>
  <si>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</si>
  <si>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</si>
  <si>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</si>
  <si>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</si>
  <si>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</si>
  <si>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</si>
  <si>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</si>
  <si>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</si>
  <si>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</si>
  <si>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</si>
  <si>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</si>
  <si>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</si>
  <si>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</si>
  <si>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</si>
  <si>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</si>
  <si>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</si>
  <si>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</si>
  <si>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</si>
  <si>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</si>
  <si>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</si>
  <si>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</si>
  <si>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</si>
  <si>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</si>
  <si>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</si>
  <si>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</si>
  <si>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</si>
  <si>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</si>
  <si>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</si>
  <si>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</si>
  <si>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</si>
  <si>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</si>
  <si>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</si>
  <si>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</si>
  <si>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</si>
  <si>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</si>
  <si>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</si>
  <si>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</si>
  <si>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</si>
  <si>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</si>
  <si>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</si>
  <si>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</si>
  <si>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</si>
  <si>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</si>
  <si>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</si>
  <si>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</si>
  <si>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</si>
  <si>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</si>
  <si>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</si>
  <si>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</si>
  <si>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</si>
  <si>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</si>
  <si>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</si>
  <si>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</si>
  <si>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</si>
  <si>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</si>
  <si>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</si>
  <si>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</si>
  <si>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</si>
  <si>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</si>
  <si>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</si>
  <si>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</si>
  <si>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</si>
  <si>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</si>
  <si>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</si>
  <si>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</si>
  <si>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</si>
  <si>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</si>
  <si>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</si>
  <si>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</si>
  <si>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</si>
  <si>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</si>
  <si>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</si>
  <si>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</si>
  <si>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</si>
  <si>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</si>
  <si>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</si>
  <si>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</si>
  <si>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</si>
  <si>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</si>
  <si>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</si>
  <si>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</si>
  <si>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</si>
  <si>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</si>
  <si>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</si>
  <si>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</si>
  <si>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</si>
  <si>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>1-8-2003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</si>
</sst>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workbookViewId="0">
      <selection activeCell="K4" sqref="K4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MIN(H2:H10)</f>
        <v>35040</v>
      </c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>MAX(G2:G10)</f>
        <v>65000</v>
      </c>
      <c r="K3">
        <f>MIN(G2:G10)</f>
        <v>36000</v>
      </c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workbookViewId="0">
      <selection activeCell="J16" sqref="J16"/>
    </sheetView>
  </sheetViews>
  <sheetFormatPr defaultColWidth="13.6328125" defaultRowHeight="14.5" x14ac:dyDescent="0.35"/>
  <cols>
    <col min="1" max="1" width="10.81640625" bestFit="1" customWidth="1"/>
    <col min="4" max="4" width="7.6328125" customWidth="1"/>
    <col min="11" max="11" width="18.906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IF(D2:D10&gt;30,"Old","Young")</f>
        <v>Young</v>
      </c>
      <c r="K2" t="str" cm="1">
        <f t="array" ref="K2:K10">_xlfn.IFS(F2:F10="Salesman","Promote",F2:F10="HR","Fire Immediately",F2:F10="Regional Manager", "Give Christmas Bonus")</f>
        <v>Promote</v>
      </c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Young</v>
      </c>
      <c r="K3" t="e">
        <v>#N/A</v>
      </c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Young</v>
      </c>
      <c r="K4" t="str">
        <v>Promote</v>
      </c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Old</v>
      </c>
      <c r="K5" t="e">
        <v>#N/A</v>
      </c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Old</v>
      </c>
      <c r="K6" t="str">
        <v>Fire Immediately</v>
      </c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Old</v>
      </c>
      <c r="K7" t="str">
        <v>Give Christmas Bonus</v>
      </c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Old</v>
      </c>
      <c r="K8" t="e">
        <v>#N/A</v>
      </c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Old</v>
      </c>
      <c r="K9" t="str">
        <v>Promote</v>
      </c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Old</v>
      </c>
      <c r="K10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workbookViewId="0">
      <selection activeCell="J3" sqref="J3"/>
    </sheetView>
  </sheetViews>
  <sheetFormatPr defaultColWidth="10.90625" defaultRowHeight="14.5" x14ac:dyDescent="0.35"/>
  <cols>
    <col min="1" max="1" width="10.81640625" bestFit="1" customWidth="1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cm="1">
        <f t="array" ref="J2:J10">LEN(C2:C10)</f>
        <v>7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v>7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v>7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v>6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v>10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v>5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v>6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v>6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topLeftCell="D1" workbookViewId="0">
      <selection activeCell="I2" sqref="I2"/>
    </sheetView>
  </sheetViews>
  <sheetFormatPr defaultColWidth="14.54296875" defaultRowHeight="14.5" x14ac:dyDescent="0.35"/>
  <cols>
    <col min="4" max="4" width="8" customWidth="1"/>
    <col min="10" max="10" width="32.36328125" bestFit="1" customWidth="1"/>
  </cols>
  <sheetData>
    <row r="1" spans="1:13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 cm="1">
        <f t="array" ref="K2:K10">LEFT(B2:B10,3)</f>
        <v>Jim</v>
      </c>
      <c r="L2" t="str" cm="1">
        <f t="array" ref="L2:L10">RIGHT(A2:A10,1)</f>
        <v>1</v>
      </c>
      <c r="M2" t="str" cm="1">
        <f t="array" ref="M2:M10">RIGHT(H2:H10,4)</f>
        <v>2001</v>
      </c>
    </row>
    <row r="3" spans="1:13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v>Pam</v>
      </c>
      <c r="L3" t="str">
        <v>2</v>
      </c>
      <c r="M3" t="str">
        <v>1999</v>
      </c>
    </row>
    <row r="4" spans="1:13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v>Dwi</v>
      </c>
      <c r="L4" t="str">
        <v>3</v>
      </c>
      <c r="M4" t="str">
        <v>2000</v>
      </c>
    </row>
    <row r="5" spans="1:13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v>Ang</v>
      </c>
      <c r="L5" t="str">
        <v>4</v>
      </c>
      <c r="M5" t="str">
        <v>2000</v>
      </c>
    </row>
    <row r="6" spans="1:13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v>Tob</v>
      </c>
      <c r="L6" t="str">
        <v>5</v>
      </c>
      <c r="M6" t="str">
        <v>2001</v>
      </c>
    </row>
    <row r="7" spans="1:13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v>Mic</v>
      </c>
      <c r="L7" t="str">
        <v>6</v>
      </c>
      <c r="M7" t="str">
        <v>2001</v>
      </c>
    </row>
    <row r="8" spans="1:13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v>Mer</v>
      </c>
      <c r="L8" t="str">
        <v>7</v>
      </c>
      <c r="M8" t="str">
        <v>2003</v>
      </c>
    </row>
    <row r="9" spans="1:13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v>Sta</v>
      </c>
      <c r="L9" t="str">
        <v>8</v>
      </c>
      <c r="M9" t="str">
        <v>2002</v>
      </c>
    </row>
    <row r="10" spans="1:13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v>Kev</v>
      </c>
      <c r="L10" t="str">
        <v>9</v>
      </c>
      <c r="M10" t="str"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K13"/>
  <sheetViews>
    <sheetView topLeftCell="B1" workbookViewId="0">
      <selection activeCell="L3" sqref="L2:M10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TEXT(I2,"dd/mm/yyyy")</f>
        <v>06/09/2015</v>
      </c>
      <c r="K2" s="2"/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TEXT(I3,"dd/mm/yyyy")</f>
        <v>10/10/2015</v>
      </c>
      <c r="K3" s="2"/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08/09/2017</v>
      </c>
      <c r="K4" s="2"/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03/12/2015</v>
      </c>
      <c r="K5" s="2"/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30/08/2017</v>
      </c>
      <c r="K6" s="2"/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11/09/2013</v>
      </c>
      <c r="K7" s="2"/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04/10/2013</v>
      </c>
      <c r="K8" s="2"/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22/04/2015</v>
      </c>
      <c r="K9" s="2"/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14/09/2011</v>
      </c>
      <c r="K10" s="2"/>
    </row>
    <row r="12" spans="1:11" x14ac:dyDescent="0.35">
      <c r="H12" s="1"/>
    </row>
    <row r="13" spans="1:11" x14ac:dyDescent="0.35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workbookViewId="0">
      <selection sqref="A1:XFD1048576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35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TRIM(C2:C10)</f>
        <v>Halpert</v>
      </c>
    </row>
    <row r="3" spans="1:11" x14ac:dyDescent="0.35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Beasley</v>
      </c>
    </row>
    <row r="4" spans="1:11" x14ac:dyDescent="0.35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Schrute</v>
      </c>
    </row>
    <row r="5" spans="1:11" x14ac:dyDescent="0.35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Martin</v>
      </c>
    </row>
    <row r="6" spans="1:11" x14ac:dyDescent="0.35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Flenderson</v>
      </c>
    </row>
    <row r="7" spans="1:11" x14ac:dyDescent="0.35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Scott</v>
      </c>
    </row>
    <row r="8" spans="1:11" x14ac:dyDescent="0.35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Palmer</v>
      </c>
    </row>
    <row r="9" spans="1:11" x14ac:dyDescent="0.35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Hudson</v>
      </c>
    </row>
    <row r="10" spans="1:11" x14ac:dyDescent="0.35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K12"/>
  <sheetViews>
    <sheetView workbookViewId="0">
      <selection activeCell="K17" sqref="K17"/>
    </sheetView>
  </sheetViews>
  <sheetFormatPr defaultRowHeight="14.5" x14ac:dyDescent="0.35"/>
  <cols>
    <col min="2" max="2" width="10.453125" customWidth="1"/>
    <col min="3" max="5" width="10.6328125" customWidth="1"/>
    <col min="6" max="6" width="16.54296875" customWidth="1"/>
    <col min="8" max="8" width="14.1796875" customWidth="1"/>
    <col min="9" max="9" width="14.81640625" customWidth="1"/>
    <col min="10" max="10" width="22" bestFit="1" customWidth="1"/>
    <col min="11" max="11" width="32.906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CONCATENATE(B2," ",C2)</f>
        <v>Jim Halpert</v>
      </c>
      <c r="K2" t="str">
        <f>CONCATENATE(B2,".",C2,"@gmail.com")</f>
        <v>Jim.Halpert@gmail.com</v>
      </c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2" si="0">CONCATENATE(B3," ",C3)</f>
        <v>Pam Beasley</v>
      </c>
      <c r="K3" t="str">
        <f t="shared" ref="K3:K12" si="1">CONCATENATE(B3,".",C3,"@gmail.com")</f>
        <v>Pam.Beasley@gmail.com</v>
      </c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 Schrute</v>
      </c>
      <c r="K4" t="str">
        <f t="shared" si="1"/>
        <v>Dwight.Schrute@gmail.com</v>
      </c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 Martin</v>
      </c>
      <c r="K5" t="str">
        <f t="shared" si="1"/>
        <v>Angela.Martin@gmail.com</v>
      </c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 Flenderson</v>
      </c>
      <c r="K6" t="str">
        <f t="shared" si="1"/>
        <v>Toby.Flenderson@gmail.com</v>
      </c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 Scott</v>
      </c>
      <c r="K7" t="str">
        <f t="shared" si="1"/>
        <v>Michael.Scott@gmail.com</v>
      </c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  <c r="K8" t="str">
        <f t="shared" si="1"/>
        <v>Meredith.Palmer@gmail.com</v>
      </c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 Hudson</v>
      </c>
      <c r="K9" t="str">
        <f t="shared" si="1"/>
        <v>Stanley.Hudson@gmail.com</v>
      </c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 Malone</v>
      </c>
      <c r="K10" t="str">
        <f t="shared" si="1"/>
        <v>Kevin.Malone@gmail.com</v>
      </c>
    </row>
    <row r="11" spans="1:11" x14ac:dyDescent="0.35">
      <c r="H11" t="str">
        <f t="shared" ref="H11:H12" si="2">CONCATENATE(B11," ",C11)</f>
        <v xml:space="preserve"> </v>
      </c>
      <c r="J11" t="str">
        <f t="shared" si="0"/>
        <v xml:space="preserve"> </v>
      </c>
    </row>
    <row r="12" spans="1:11" x14ac:dyDescent="0.35">
      <c r="H12" t="str">
        <f t="shared" si="2"/>
        <v xml:space="preserve"> </v>
      </c>
      <c r="J12" t="str">
        <f t="shared" si="0"/>
        <v xml:space="preserve"> 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workbookViewId="0">
      <selection activeCell="J15" sqref="J15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 cm="1">
        <f t="array" ref="J2:J10">SUBSTITUTE(H2:H10,"/","-",1)</f>
        <v>11-2/2001</v>
      </c>
      <c r="K2" t="str" cm="1">
        <f t="array" ref="K2:K10">SUBSTITUTE(I2:I10,"/","-",2)</f>
        <v>9/6-2015</v>
      </c>
      <c r="L2" t="str" cm="1">
        <f t="array" ref="L2:L10">SUBSTITUTE(H2:H10,"-","/")</f>
        <v>11/2/2001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v>10-3/1999</v>
      </c>
      <c r="K3" t="str">
        <v>10/10-2015</v>
      </c>
      <c r="L3" t="str">
        <v>10/3/1999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v>7-4/2000</v>
      </c>
      <c r="K4" t="str">
        <v>9/8-2017</v>
      </c>
      <c r="L4" t="str">
        <v>7/4/2000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t="str">
        <v>1-5/2000</v>
      </c>
      <c r="K5" t="str">
        <v>12/3-2015</v>
      </c>
      <c r="L5" t="str">
        <v>1/5/2000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str">
        <v>5-6/2001</v>
      </c>
      <c r="K6" t="str">
        <v>8/30-2017</v>
      </c>
      <c r="L6" t="str">
        <v>5/6/2001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v>5-6/2001</v>
      </c>
      <c r="K7" t="str">
        <v>9/11-2013</v>
      </c>
      <c r="L7" t="str">
        <v>5/6/2001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88</v>
      </c>
      <c r="I8" s="2" t="s">
        <v>61</v>
      </c>
      <c r="J8" t="str">
        <v>1-8-2003</v>
      </c>
      <c r="K8" t="str">
        <v>9/11-2013</v>
      </c>
      <c r="L8" t="str">
        <v>1/8/2003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v>6-9/2002</v>
      </c>
      <c r="K9" t="str">
        <v>4/22-2015</v>
      </c>
      <c r="L9" t="str">
        <v>6/9/2002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v>8-10/2003</v>
      </c>
      <c r="K10" t="str">
        <v>4/22-2015</v>
      </c>
      <c r="L10" t="str">
        <v>8/10/2003</v>
      </c>
    </row>
    <row r="12" spans="1:12" x14ac:dyDescent="0.35">
      <c r="H12" s="2"/>
      <c r="I12" s="2"/>
    </row>
    <row r="13" spans="1:12" x14ac:dyDescent="0.35">
      <c r="H13" s="2"/>
      <c r="I13" s="2"/>
    </row>
    <row r="14" spans="1:12" x14ac:dyDescent="0.35">
      <c r="H14" s="2"/>
      <c r="I14" s="2"/>
    </row>
    <row r="15" spans="1:12" x14ac:dyDescent="0.35">
      <c r="H15" s="2"/>
      <c r="I15" s="2"/>
    </row>
    <row r="16" spans="1:12" x14ac:dyDescent="0.35">
      <c r="H16" s="2"/>
      <c r="I16" s="2"/>
    </row>
    <row r="17" spans="8:9" x14ac:dyDescent="0.35">
      <c r="H17" s="2"/>
      <c r="I17" s="2"/>
    </row>
    <row r="18" spans="8:9" x14ac:dyDescent="0.35">
      <c r="H18" s="2"/>
      <c r="I18" s="2"/>
    </row>
    <row r="19" spans="8:9" x14ac:dyDescent="0.35">
      <c r="H19" s="2"/>
      <c r="I19" s="2"/>
    </row>
    <row r="20" spans="8:9" x14ac:dyDescent="0.35">
      <c r="H20" s="2"/>
      <c r="I20" s="2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workbookViewId="0">
      <selection activeCell="L2" sqref="L2"/>
    </sheetView>
  </sheetViews>
  <sheetFormatPr defaultColWidth="13" defaultRowHeight="14.5" x14ac:dyDescent="0.35"/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SUMIF(G2:G10,"&gt;50000")</f>
        <v>128000</v>
      </c>
      <c r="L2">
        <f>SUMIFS(G2:G10,E2:E10,"Female",D2:D10,"&gt;30")</f>
        <v>88000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workbookViewId="0">
      <selection activeCell="L3" sqref="L3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COUNTIF(G2:G10,"&gt;45000")</f>
        <v>5</v>
      </c>
      <c r="L2">
        <f>COUNTIFS(G2:G10,"&gt;45000",E2:E10,"Male",D2:D10,"&gt;30")</f>
        <v>3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tabSelected="1" workbookViewId="0">
      <selection activeCell="O10" sqref="O10"/>
    </sheetView>
  </sheetViews>
  <sheetFormatPr defaultRowHeight="14.5" x14ac:dyDescent="0.35"/>
  <cols>
    <col min="8" max="8" width="14.453125" customWidth="1"/>
    <col min="9" max="9" width="13.363281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>
        <f>_xlfn.DAYS(I2,H2)</f>
        <v>5056</v>
      </c>
      <c r="K2">
        <f>NETWORKDAYS(H2,I2)</f>
        <v>3611</v>
      </c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>
        <f t="shared" ref="J3:J10" si="0">_xlfn.DAYS(I3,H3)</f>
        <v>5851</v>
      </c>
      <c r="K3">
        <f t="shared" ref="K3:K10" si="1">NETWORKDAYS(H3,I3)</f>
        <v>4180</v>
      </c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>
        <f t="shared" si="0"/>
        <v>6275</v>
      </c>
      <c r="K4">
        <f t="shared" si="1"/>
        <v>4484</v>
      </c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>
        <f t="shared" si="0"/>
        <v>5811</v>
      </c>
      <c r="K5">
        <f t="shared" si="1"/>
        <v>4152</v>
      </c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>
        <f t="shared" si="0"/>
        <v>5960</v>
      </c>
      <c r="K6">
        <f t="shared" si="1"/>
        <v>4258</v>
      </c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>
        <f t="shared" si="0"/>
        <v>4511</v>
      </c>
      <c r="K7">
        <f t="shared" si="1"/>
        <v>3223</v>
      </c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>
        <f t="shared" si="0"/>
        <v>3595</v>
      </c>
      <c r="K8">
        <f t="shared" si="1"/>
        <v>2568</v>
      </c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>
        <f t="shared" si="0"/>
        <v>4700</v>
      </c>
      <c r="K9">
        <f t="shared" si="1"/>
        <v>3358</v>
      </c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>
        <f t="shared" si="0"/>
        <v>4273</v>
      </c>
      <c r="K10">
        <f t="shared" si="1"/>
        <v>3053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Concatenate</vt:lpstr>
      <vt:lpstr>Substitute</vt:lpstr>
      <vt:lpstr>SUM-SumIF</vt:lpstr>
      <vt:lpstr>Count-CountIF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Sylvia Ifeanyichukwu</cp:lastModifiedBy>
  <dcterms:created xsi:type="dcterms:W3CDTF">2021-12-16T14:18:34Z</dcterms:created>
  <dcterms:modified xsi:type="dcterms:W3CDTF">2025-10-01T23:54:19Z</dcterms:modified>
</cp:coreProperties>
</file>